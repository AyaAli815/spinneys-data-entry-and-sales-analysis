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xr:revisionPtr revIDLastSave="788" documentId="11_E60897F41BE170836B02CE998F75CCDC64E183C8" xr6:coauthVersionLast="47" xr6:coauthVersionMax="47" xr10:uidLastSave="{23BF283D-D313-4863-9F54-A87EF2F1970F}"/>
  <bookViews>
    <workbookView xWindow="240" yWindow="105" windowWidth="14805" windowHeight="8010" firstSheet="2" activeTab="2" xr2:uid="{00000000-000D-0000-FFFF-FFFF00000000}"/>
  </bookViews>
  <sheets>
    <sheet name="Spinneys Products Data" sheetId="1" r:id="rId1"/>
    <sheet name="Data Quality Check" sheetId="2" r:id="rId2"/>
    <sheet name="Inventory Analysis" sheetId="3" r:id="rId3"/>
  </sheets>
  <calcPr calcId="191028"/>
  <pivotCaches>
    <pivotCache cacheId="2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2" l="1"/>
  <c r="B6" i="2"/>
  <c r="M4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5" i="1"/>
  <c r="M33" i="1"/>
  <c r="M34" i="1"/>
  <c r="M36" i="1"/>
  <c r="M37" i="1"/>
  <c r="M38" i="1"/>
  <c r="M39" i="1"/>
  <c r="M40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5" i="1"/>
  <c r="L33" i="1"/>
  <c r="L34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J59" i="1"/>
  <c r="J41" i="1"/>
  <c r="J42" i="1"/>
  <c r="J49" i="1"/>
  <c r="J54" i="1"/>
  <c r="J56" i="1"/>
  <c r="J57" i="1"/>
  <c r="J36" i="1"/>
  <c r="J39" i="1"/>
  <c r="J17" i="1"/>
  <c r="J30" i="1"/>
  <c r="J28" i="1"/>
  <c r="J26" i="1"/>
  <c r="J8" i="1"/>
  <c r="J51" i="1"/>
  <c r="J4" i="1"/>
  <c r="J55" i="1"/>
  <c r="J19" i="1"/>
  <c r="J24" i="1"/>
  <c r="J47" i="1"/>
  <c r="J43" i="1"/>
  <c r="J46" i="1"/>
  <c r="J60" i="1"/>
  <c r="J53" i="1"/>
  <c r="J45" i="1"/>
  <c r="J31" i="1"/>
  <c r="J27" i="1"/>
  <c r="J32" i="1"/>
  <c r="J23" i="1"/>
  <c r="J58" i="1"/>
  <c r="J40" i="1"/>
  <c r="J37" i="1"/>
  <c r="J44" i="1"/>
  <c r="J48" i="1"/>
  <c r="J16" i="1"/>
  <c r="J25" i="1"/>
  <c r="J13" i="1"/>
  <c r="J9" i="1"/>
  <c r="J14" i="1"/>
  <c r="J6" i="1"/>
  <c r="J21" i="1"/>
  <c r="J18" i="1"/>
  <c r="J3" i="1"/>
  <c r="J52" i="1"/>
  <c r="J38" i="1"/>
  <c r="J20" i="1"/>
  <c r="J5" i="1"/>
  <c r="J50" i="1"/>
  <c r="J22" i="1"/>
  <c r="J11" i="1"/>
  <c r="J2" i="1"/>
  <c r="J15" i="1"/>
  <c r="J7" i="1"/>
  <c r="J29" i="1"/>
  <c r="J35" i="1"/>
  <c r="J12" i="1"/>
  <c r="J33" i="1"/>
  <c r="J34" i="1"/>
  <c r="J10" i="1"/>
  <c r="B4" i="2"/>
  <c r="B3" i="2"/>
  <c r="B5" i="2"/>
  <c r="B2" i="2"/>
  <c r="K10" i="1" l="1"/>
  <c r="N10" i="1"/>
  <c r="K34" i="1"/>
  <c r="N34" i="1"/>
  <c r="K33" i="1"/>
  <c r="N33" i="1"/>
  <c r="K12" i="1"/>
  <c r="N12" i="1"/>
  <c r="K35" i="1"/>
  <c r="N35" i="1"/>
  <c r="K29" i="1"/>
  <c r="N29" i="1"/>
  <c r="K7" i="1"/>
  <c r="N7" i="1"/>
  <c r="K15" i="1"/>
  <c r="N15" i="1"/>
  <c r="K2" i="1"/>
  <c r="N2" i="1"/>
  <c r="K11" i="1"/>
  <c r="N11" i="1"/>
  <c r="K22" i="1"/>
  <c r="N22" i="1"/>
  <c r="K50" i="1"/>
  <c r="N50" i="1"/>
  <c r="K5" i="1"/>
  <c r="N5" i="1"/>
  <c r="K20" i="1"/>
  <c r="N20" i="1"/>
  <c r="K38" i="1"/>
  <c r="N38" i="1"/>
  <c r="K52" i="1"/>
  <c r="N52" i="1"/>
  <c r="K3" i="1"/>
  <c r="N3" i="1"/>
  <c r="K18" i="1"/>
  <c r="N18" i="1"/>
  <c r="K21" i="1"/>
  <c r="N21" i="1"/>
  <c r="K6" i="1"/>
  <c r="N6" i="1"/>
  <c r="K14" i="1"/>
  <c r="N14" i="1"/>
  <c r="K9" i="1"/>
  <c r="N9" i="1"/>
  <c r="K13" i="1"/>
  <c r="N13" i="1"/>
  <c r="K25" i="1"/>
  <c r="N25" i="1"/>
  <c r="K16" i="1"/>
  <c r="N16" i="1"/>
  <c r="K48" i="1"/>
  <c r="N48" i="1"/>
  <c r="K44" i="1"/>
  <c r="N44" i="1"/>
  <c r="K37" i="1"/>
  <c r="N37" i="1"/>
  <c r="K40" i="1"/>
  <c r="N40" i="1"/>
  <c r="K58" i="1"/>
  <c r="N58" i="1"/>
  <c r="K23" i="1"/>
  <c r="N23" i="1"/>
  <c r="K32" i="1"/>
  <c r="N32" i="1"/>
  <c r="K27" i="1"/>
  <c r="N27" i="1"/>
  <c r="K31" i="1"/>
  <c r="N31" i="1"/>
  <c r="K45" i="1"/>
  <c r="N45" i="1"/>
  <c r="K53" i="1"/>
  <c r="N53" i="1"/>
  <c r="K60" i="1"/>
  <c r="N60" i="1"/>
  <c r="K46" i="1"/>
  <c r="N46" i="1"/>
  <c r="K43" i="1"/>
  <c r="N43" i="1"/>
  <c r="K47" i="1"/>
  <c r="N47" i="1"/>
  <c r="K24" i="1"/>
  <c r="N24" i="1"/>
  <c r="K19" i="1"/>
  <c r="N19" i="1"/>
  <c r="K55" i="1"/>
  <c r="N55" i="1"/>
  <c r="K4" i="1"/>
  <c r="N4" i="1"/>
  <c r="K51" i="1"/>
  <c r="N51" i="1"/>
  <c r="K8" i="1"/>
  <c r="N8" i="1"/>
  <c r="K26" i="1"/>
  <c r="N26" i="1"/>
  <c r="K28" i="1"/>
  <c r="N28" i="1"/>
  <c r="K30" i="1"/>
  <c r="N30" i="1"/>
  <c r="K17" i="1"/>
  <c r="N17" i="1"/>
  <c r="K39" i="1"/>
  <c r="N39" i="1"/>
  <c r="K36" i="1"/>
  <c r="N36" i="1"/>
  <c r="K57" i="1"/>
  <c r="N57" i="1"/>
  <c r="K56" i="1"/>
  <c r="N56" i="1"/>
  <c r="K54" i="1"/>
  <c r="N54" i="1"/>
  <c r="K49" i="1"/>
  <c r="N49" i="1"/>
  <c r="K42" i="1"/>
  <c r="N42" i="1"/>
  <c r="K41" i="1"/>
  <c r="N41" i="1"/>
  <c r="K59" i="1"/>
  <c r="N59" i="1"/>
</calcChain>
</file>

<file path=xl/sharedStrings.xml><?xml version="1.0" encoding="utf-8"?>
<sst xmlns="http://schemas.openxmlformats.org/spreadsheetml/2006/main" count="440" uniqueCount="239">
  <si>
    <t>Product ID</t>
  </si>
  <si>
    <t>Category</t>
  </si>
  <si>
    <t>Vendor/Brand</t>
  </si>
  <si>
    <t>Product Name</t>
  </si>
  <si>
    <t>Size</t>
  </si>
  <si>
    <t>Cost</t>
  </si>
  <si>
    <t>Selling Price</t>
  </si>
  <si>
    <t>Promotion</t>
  </si>
  <si>
    <t>Stock</t>
  </si>
  <si>
    <t>Profit</t>
  </si>
  <si>
    <t>Profit Margin</t>
  </si>
  <si>
    <t>Stock Value</t>
  </si>
  <si>
    <t>Potential Revenue</t>
  </si>
  <si>
    <t>Potential Profit</t>
  </si>
  <si>
    <t>P009</t>
  </si>
  <si>
    <t>Cheese, Dairy &amp; Eggs</t>
  </si>
  <si>
    <t>OBOUR LAND</t>
  </si>
  <si>
    <t xml:space="preserve"> SPREAD PROCESSED CHEESE W/CHEDDAR </t>
  </si>
  <si>
    <t xml:space="preserve"> 50G</t>
  </si>
  <si>
    <t>NO</t>
  </si>
  <si>
    <t>P003</t>
  </si>
  <si>
    <t>DANONE</t>
  </si>
  <si>
    <t xml:space="preserve"> TASTY YOGHURT WITH PEACH </t>
  </si>
  <si>
    <t xml:space="preserve"> 120G</t>
  </si>
  <si>
    <t>P059</t>
  </si>
  <si>
    <t>Bakery &amp; Bread</t>
  </si>
  <si>
    <t>ELABD</t>
  </si>
  <si>
    <t>Elabd Chocolate Chip Cookies</t>
  </si>
  <si>
    <t>12 Per Pack</t>
  </si>
  <si>
    <t>P055</t>
  </si>
  <si>
    <t>DOMTY</t>
  </si>
  <si>
    <t>DOMTY - CROISSANT HAZELNUY CREAM W/MILK</t>
  </si>
  <si>
    <t>1PC</t>
  </si>
  <si>
    <t>P020</t>
  </si>
  <si>
    <t>Beverages</t>
  </si>
  <si>
    <t>7 UP</t>
  </si>
  <si>
    <t>7 UP - CARBONATED DRINK NRB</t>
  </si>
  <si>
    <t>300ML</t>
  </si>
  <si>
    <t>YES</t>
  </si>
  <si>
    <t>P037</t>
  </si>
  <si>
    <t>Sweets &amp; Snacks</t>
  </si>
  <si>
    <t>CHIPSY</t>
  </si>
  <si>
    <t>Chipsy Large Loom Potato Kebab</t>
  </si>
  <si>
    <t>130G</t>
  </si>
  <si>
    <t>P056</t>
  </si>
  <si>
    <t>RICH BAKE</t>
  </si>
  <si>
    <t xml:space="preserve">RICH BAKE - POUND CAKE DARKCHOCOLATE </t>
  </si>
  <si>
    <t>P023</t>
  </si>
  <si>
    <t>VAMOS</t>
  </si>
  <si>
    <t>VAMOS - DRINK MALT W/PINEAPPLE CARAMEL</t>
  </si>
  <si>
    <t>P038</t>
  </si>
  <si>
    <t>BREAK</t>
  </si>
  <si>
    <t>Break Corn Snack Hot Chili Flavor</t>
  </si>
  <si>
    <t>65G</t>
  </si>
  <si>
    <t>P004</t>
  </si>
  <si>
    <t>JUHAYNA</t>
  </si>
  <si>
    <t xml:space="preserve"> Mix Milk With Chocolate </t>
  </si>
  <si>
    <t xml:space="preserve"> 200 ML</t>
  </si>
  <si>
    <t>P032</t>
  </si>
  <si>
    <t>MCVITIES</t>
  </si>
  <si>
    <t>MCVITIES - BISKREM COOKIES FILLED W/ COCOA CREAM</t>
  </si>
  <si>
    <t>60G</t>
  </si>
  <si>
    <t>P045</t>
  </si>
  <si>
    <t>Frozen Food</t>
  </si>
  <si>
    <t>GIVREX</t>
  </si>
  <si>
    <t>Givrex Frozen Chopped Spinach</t>
  </si>
  <si>
    <t>400G</t>
  </si>
  <si>
    <t>P019</t>
  </si>
  <si>
    <t>Fruits &amp; Vegetables</t>
  </si>
  <si>
    <t>UNKNOWN</t>
  </si>
  <si>
    <t>Mafa Coriander</t>
  </si>
  <si>
    <t>100G</t>
  </si>
  <si>
    <t>P036</t>
  </si>
  <si>
    <t>BLAZO</t>
  </si>
  <si>
    <t>BLAZO - WAFER W/WHITE CHOCO+CRISP+CARAMEL W/STRAW.CREAM</t>
  </si>
  <si>
    <t>P050</t>
  </si>
  <si>
    <t>Seafood &amp; Fish</t>
  </si>
  <si>
    <t>SPINNEYS SUPREME</t>
  </si>
  <si>
    <t>Sea Food Cocktail</t>
  </si>
  <si>
    <t>0.25Kg</t>
  </si>
  <si>
    <t>P006</t>
  </si>
  <si>
    <t>GRO</t>
  </si>
  <si>
    <t xml:space="preserve"> BARISTA OAT MILK NO ADDED SUGAR </t>
  </si>
  <si>
    <t xml:space="preserve"> 1L</t>
  </si>
  <si>
    <t>P052</t>
  </si>
  <si>
    <t>RICH BAKE - FINE BREAD CRUMBS</t>
  </si>
  <si>
    <t>200G</t>
  </si>
  <si>
    <t>P015</t>
  </si>
  <si>
    <t>Imported Apricots</t>
  </si>
  <si>
    <t xml:space="preserve"> 0.5 Kg</t>
  </si>
  <si>
    <t>P053</t>
  </si>
  <si>
    <t>BRUNCH</t>
  </si>
  <si>
    <t xml:space="preserve">BRUNCH - PREMIUM CROISSANT CHOCOLATE+HAZELNUT </t>
  </si>
  <si>
    <t>P025</t>
  </si>
  <si>
    <t>SUN TOP</t>
  </si>
  <si>
    <t>SUN TOP - PINK LEMONADE DRINK</t>
  </si>
  <si>
    <t>250ML</t>
  </si>
  <si>
    <t>P022</t>
  </si>
  <si>
    <t>TANG</t>
  </si>
  <si>
    <t>TANG - MANGO POWDER DRINK INSTANT</t>
  </si>
  <si>
    <t>40G</t>
  </si>
  <si>
    <t>P013</t>
  </si>
  <si>
    <t>Red Apple Imported</t>
  </si>
  <si>
    <t>P021</t>
  </si>
  <si>
    <t>TANG - INSTANT POWDER JUICE ORANGE</t>
  </si>
  <si>
    <t>450G</t>
  </si>
  <si>
    <t>P001</t>
  </si>
  <si>
    <t>ALMARAI</t>
  </si>
  <si>
    <t xml:space="preserve"> FETA EDAM CHEESE </t>
  </si>
  <si>
    <t xml:space="preserve"> 250G</t>
  </si>
  <si>
    <t>P028</t>
  </si>
  <si>
    <t>VITRAC</t>
  </si>
  <si>
    <t>VITRAC - APPLE CIDER SYRUP</t>
  </si>
  <si>
    <t>635ML</t>
  </si>
  <si>
    <t>P029</t>
  </si>
  <si>
    <t>RAUCH</t>
  </si>
  <si>
    <t>RAUCH - FRUIT DRINK</t>
  </si>
  <si>
    <t>355ML</t>
  </si>
  <si>
    <t>P049</t>
  </si>
  <si>
    <t>SHAHD</t>
  </si>
  <si>
    <t>Shahd Dino Nuggets</t>
  </si>
  <si>
    <t>P008</t>
  </si>
  <si>
    <t xml:space="preserve"> YOGURT WITH PEACH </t>
  </si>
  <si>
    <t xml:space="preserve"> 100G</t>
  </si>
  <si>
    <t>P010</t>
  </si>
  <si>
    <t>MAFA</t>
  </si>
  <si>
    <t xml:space="preserve">MECCA ORANGE FOR JUICE NET </t>
  </si>
  <si>
    <t>2KG</t>
  </si>
  <si>
    <t>P058</t>
  </si>
  <si>
    <t>Elabd Orange Biscuits</t>
  </si>
  <si>
    <t>18 Per Pack</t>
  </si>
  <si>
    <t>P054</t>
  </si>
  <si>
    <t>SPINNEYS - DOMINO BRIOCHE</t>
  </si>
  <si>
    <t>P033</t>
  </si>
  <si>
    <t>DIDOS</t>
  </si>
  <si>
    <t>DIDOS - STRAWBERRY FRUIT COOKIE</t>
  </si>
  <si>
    <t>16G</t>
  </si>
  <si>
    <t>P035</t>
  </si>
  <si>
    <t xml:space="preserve">DIDOS - WHITE CHOCOLATE COOKIE </t>
  </si>
  <si>
    <t>P034</t>
  </si>
  <si>
    <t>ONIRO</t>
  </si>
  <si>
    <t>ONIRO - TEABIX ORIGINAL PLAIN BISCUIT</t>
  </si>
  <si>
    <t>9PC</t>
  </si>
  <si>
    <t>P040</t>
  </si>
  <si>
    <t>FORNI</t>
  </si>
  <si>
    <t>FORNI - MARGHERITA PIZZA ROUND</t>
  </si>
  <si>
    <t>426G</t>
  </si>
  <si>
    <t>P012</t>
  </si>
  <si>
    <t>Mangoes Golak</t>
  </si>
  <si>
    <t>P018</t>
  </si>
  <si>
    <t>Coriander</t>
  </si>
  <si>
    <t>P031</t>
  </si>
  <si>
    <t>ROSHEN</t>
  </si>
  <si>
    <t>ROSHEN - WAFERS HAZELNUT</t>
  </si>
  <si>
    <t>216G</t>
  </si>
  <si>
    <t>P016</t>
  </si>
  <si>
    <t>White Grapes</t>
  </si>
  <si>
    <t>P057</t>
  </si>
  <si>
    <t>Elabd Menin with Ajwa</t>
  </si>
  <si>
    <t>52Pc</t>
  </si>
  <si>
    <t>P041</t>
  </si>
  <si>
    <t>HALWANI</t>
  </si>
  <si>
    <t>HALWANI - CRUNCHY CHICKEN TENDERS</t>
  </si>
  <si>
    <t>900GM</t>
  </si>
  <si>
    <t>P043</t>
  </si>
  <si>
    <t>FAYDA</t>
  </si>
  <si>
    <t>FAYDA - COOKED SALAMI</t>
  </si>
  <si>
    <t>0.2 Kg</t>
  </si>
  <si>
    <t>P024</t>
  </si>
  <si>
    <t>PEPSI</t>
  </si>
  <si>
    <t>PEPSI - CARBONATED DRINK COLA</t>
  </si>
  <si>
    <t>0.97L</t>
  </si>
  <si>
    <t>P026</t>
  </si>
  <si>
    <t>CR7</t>
  </si>
  <si>
    <t>CR7 - SPORTS DRINK WITH ORANGE</t>
  </si>
  <si>
    <t>591ML</t>
  </si>
  <si>
    <t>P014</t>
  </si>
  <si>
    <t>Imported Banana</t>
  </si>
  <si>
    <t>P005</t>
  </si>
  <si>
    <t>KIRI</t>
  </si>
  <si>
    <t xml:space="preserve"> TURKISH LABNEH WITH THYME </t>
  </si>
  <si>
    <t xml:space="preserve"> 150G</t>
  </si>
  <si>
    <t>P007</t>
  </si>
  <si>
    <t xml:space="preserve"> RAYEB LEMON MINT </t>
  </si>
  <si>
    <t xml:space="preserve"> 425G</t>
  </si>
  <si>
    <t>P051</t>
  </si>
  <si>
    <t xml:space="preserve">Spinneys Indian Shrimps With Shell </t>
  </si>
  <si>
    <t>P027</t>
  </si>
  <si>
    <t>V7</t>
  </si>
  <si>
    <t>V7 - VITAMIN CARBONATED MALT DRINK W/ APPLE</t>
  </si>
  <si>
    <t>P002</t>
  </si>
  <si>
    <t>LAVACH</t>
  </si>
  <si>
    <t xml:space="preserve"> ISTAMBOLI CHEESE NATURAL </t>
  </si>
  <si>
    <t xml:space="preserve"> 450G</t>
  </si>
  <si>
    <t>P039</t>
  </si>
  <si>
    <t>BALANCE</t>
  </si>
  <si>
    <t>Balance Protein Crackers With Sour Cream And Onion</t>
  </si>
  <si>
    <t>70 - 78G</t>
  </si>
  <si>
    <t>P044</t>
  </si>
  <si>
    <t>SHAHRAZAD</t>
  </si>
  <si>
    <t>shahrazad Green Peas</t>
  </si>
  <si>
    <t>P030</t>
  </si>
  <si>
    <t>TWIX</t>
  </si>
  <si>
    <t>TWIX - MINIS BISCUIT WITH MILK CHOCOLATE+CARAMEL</t>
  </si>
  <si>
    <t>180G</t>
  </si>
  <si>
    <t>P017</t>
  </si>
  <si>
    <t>Barhi Dates</t>
  </si>
  <si>
    <t>P042</t>
  </si>
  <si>
    <t>BRIKA</t>
  </si>
  <si>
    <t>BRIKA - HOT DOG 1KG</t>
  </si>
  <si>
    <t>25P</t>
  </si>
  <si>
    <t>P048</t>
  </si>
  <si>
    <t>Fayda Chicken Fillet Strips Spicy</t>
  </si>
  <si>
    <t>1Kg</t>
  </si>
  <si>
    <t>P011</t>
  </si>
  <si>
    <t>Mangoes Zibdia</t>
  </si>
  <si>
    <t>0.5 Kg</t>
  </si>
  <si>
    <t>P046</t>
  </si>
  <si>
    <t>ABO ELSEED</t>
  </si>
  <si>
    <t>ABO ELSEED - BAG SALMON SLICES VACUUMED</t>
  </si>
  <si>
    <t>250G</t>
  </si>
  <si>
    <t>P047</t>
  </si>
  <si>
    <t>ABO ELSEED - SALMON SPREAD</t>
  </si>
  <si>
    <t>120G</t>
  </si>
  <si>
    <t>Check</t>
  </si>
  <si>
    <t>Result</t>
  </si>
  <si>
    <t>Total Products</t>
  </si>
  <si>
    <t>Promotion = Yes</t>
  </si>
  <si>
    <t>Promotion = No</t>
  </si>
  <si>
    <t>Missing Vendor</t>
  </si>
  <si>
    <t>Out of Stock</t>
  </si>
  <si>
    <t>Low Stock</t>
  </si>
  <si>
    <t>Sum of Stock</t>
  </si>
  <si>
    <t>Sum of Stock Value</t>
  </si>
  <si>
    <t>Sum of Potential Revenue</t>
  </si>
  <si>
    <t>Sum of Potential Profit</t>
  </si>
  <si>
    <t>Grand Total</t>
  </si>
  <si>
    <t>Sum of Profit Margin</t>
  </si>
  <si>
    <t>Count of 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</si>
</sst>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EGP]\ #,##0.000"/>
    <numFmt numFmtId="165" formatCode="0.000"/>
    <numFmt numFmtId="166" formatCode="0.000%"/>
    <numFmt numFmtId="167" formatCode="&quot;$&quot;#,##0"/>
    <numFmt numFmtId="168" formatCode="[$EGP]\ 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7" fontId="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minor"/>
      </font>
    </dxf>
    <dxf>
      <numFmt numFmtId="167" formatCode="&quot;$&quot;#,##0"/>
      <alignment horizontal="center" vertical="bottom" textRotation="0" wrapText="0" indent="0" justifyLastLine="0" shrinkToFit="0" readingOrder="0"/>
    </dxf>
    <dxf>
      <numFmt numFmtId="167" formatCode="&quot;$&quot;#,##0"/>
      <alignment horizontal="center" vertical="bottom" textRotation="0" wrapText="0" indent="0" justifyLastLine="0" shrinkToFit="0" readingOrder="0"/>
    </dxf>
    <dxf>
      <numFmt numFmtId="167" formatCode="&quot;$&quot;#,##0"/>
      <alignment horizontal="center" vertical="bottom" textRotation="0" wrapText="0" indent="0" justifyLastLine="0" shrinkToFit="0" readingOrder="0"/>
    </dxf>
    <dxf>
      <numFmt numFmtId="166" formatCode="0.000%"/>
      <alignment horizontal="center" vertical="bottom" textRotation="0" wrapText="0" indent="0" justifyLastLine="0" shrinkToFit="0" readingOrder="0"/>
    </dxf>
    <dxf>
      <numFmt numFmtId="164" formatCode="[$EGP]\ #,##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EGP]\ #,##0.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8" formatCode="[$EGP]\ #,##0"/>
    </dxf>
    <dxf>
      <numFmt numFmtId="168" formatCode="[$EGP]\ #,##0"/>
    </dxf>
    <dxf>
      <numFmt numFmtId="168" formatCode="[$EGP]\ 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657131250002" createdVersion="8" refreshedVersion="8" minRefreshableVersion="3" recordCount="59" xr:uid="{4A0EACC6-BBF0-4B8D-BF06-956BC6112BAE}">
  <cacheSource type="worksheet">
    <worksheetSource name="Product"/>
  </cacheSource>
  <cacheFields count="14">
    <cacheField name="Product ID" numFmtId="0">
      <sharedItems count="59">
        <s v="P009"/>
        <s v="P003"/>
        <s v="P059"/>
        <s v="P055"/>
        <s v="P020"/>
        <s v="P037"/>
        <s v="P056"/>
        <s v="P023"/>
        <s v="P038"/>
        <s v="P004"/>
        <s v="P032"/>
        <s v="P045"/>
        <s v="P019"/>
        <s v="P036"/>
        <s v="P050"/>
        <s v="P006"/>
        <s v="P052"/>
        <s v="P015"/>
        <s v="P053"/>
        <s v="P025"/>
        <s v="P022"/>
        <s v="P013"/>
        <s v="P021"/>
        <s v="P001"/>
        <s v="P028"/>
        <s v="P029"/>
        <s v="P049"/>
        <s v="P008"/>
        <s v="P010"/>
        <s v="P058"/>
        <s v="P054"/>
        <s v="P033"/>
        <s v="P035"/>
        <s v="P034"/>
        <s v="P040"/>
        <s v="P012"/>
        <s v="P018"/>
        <s v="P031"/>
        <s v="P016"/>
        <s v="P057"/>
        <s v="P041"/>
        <s v="P043"/>
        <s v="P024"/>
        <s v="P026"/>
        <s v="P014"/>
        <s v="P005"/>
        <s v="P007"/>
        <s v="P051"/>
        <s v="P027"/>
        <s v="P002"/>
        <s v="P039"/>
        <s v="P044"/>
        <s v="P030"/>
        <s v="P017"/>
        <s v="P042"/>
        <s v="P048"/>
        <s v="P011"/>
        <s v="P046"/>
        <s v="P047"/>
      </sharedItems>
    </cacheField>
    <cacheField name="Category" numFmtId="0">
      <sharedItems count="7">
        <s v="Cheese, Dairy &amp; Eggs"/>
        <s v="Bakery &amp; Bread"/>
        <s v="Beverages"/>
        <s v="Sweets &amp; Snacks"/>
        <s v="Frozen Food"/>
        <s v="Fruits &amp; Vegetables"/>
        <s v="Seafood &amp; Fish"/>
      </sharedItems>
    </cacheField>
    <cacheField name="Vendor/Brand" numFmtId="0">
      <sharedItems/>
    </cacheField>
    <cacheField name="Product Name" numFmtId="0">
      <sharedItems count="59">
        <s v=" SPREAD PROCESSED CHEESE W/CHEDDAR "/>
        <s v=" TASTY YOGHURT WITH PEACH "/>
        <s v="Elabd Chocolate Chip Cookies"/>
        <s v="DOMTY - CROISSANT HAZELNUY CREAM W/MILK"/>
        <s v="7 UP - CARBONATED DRINK NRB"/>
        <s v="Chipsy Large Loom Potato Kebab"/>
        <s v="RICH BAKE - POUND CAKE DARKCHOCOLATE "/>
        <s v="VAMOS - DRINK MALT W/PINEAPPLE CARAMEL"/>
        <s v="Break Corn Snack Hot Chili Flavor"/>
        <s v=" Mix Milk With Chocolate "/>
        <s v="MCVITIES - BISKREM COOKIES FILLED W/ COCOA CREAM"/>
        <s v="Givrex Frozen Chopped Spinach"/>
        <s v="Mafa Coriander"/>
        <s v="BLAZO - WAFER W/WHITE CHOCO+CRISP+CARAMEL W/STRAW.CREAM"/>
        <s v="Sea Food Cocktail"/>
        <s v=" BARISTA OAT MILK NO ADDED SUGAR "/>
        <s v="RICH BAKE - FINE BREAD CRUMBS"/>
        <s v="Imported Apricots"/>
        <s v="BRUNCH - PREMIUM CROISSANT CHOCOLATE+HAZELNUT "/>
        <s v="SUN TOP - PINK LEMONADE DRINK"/>
        <s v="TANG - MANGO POWDER DRINK INSTANT"/>
        <s v="Red Apple Imported"/>
        <s v="TANG - INSTANT POWDER JUICE ORANGE"/>
        <s v=" FETA EDAM CHEESE "/>
        <s v="VITRAC - APPLE CIDER SYRUP"/>
        <s v="RAUCH - FRUIT DRINK"/>
        <s v="Shahd Dino Nuggets"/>
        <s v=" YOGURT WITH PEACH "/>
        <s v="MECCA ORANGE FOR JUICE NET "/>
        <s v="Elabd Orange Biscuits"/>
        <s v="SPINNEYS - DOMINO BRIOCHE"/>
        <s v="DIDOS - STRAWBERRY FRUIT COOKIE"/>
        <s v="DIDOS - WHITE CHOCOLATE COOKIE "/>
        <s v="ONIRO - TEABIX ORIGINAL PLAIN BISCUIT"/>
        <s v="FORNI - MARGHERITA PIZZA ROUND"/>
        <s v="Mangoes Golak"/>
        <s v="Coriander"/>
        <s v="ROSHEN - WAFERS HAZELNUT"/>
        <s v="White Grapes"/>
        <s v="Elabd Menin with Ajwa"/>
        <s v="HALWANI - CRUNCHY CHICKEN TENDERS"/>
        <s v="FAYDA - COOKED SALAMI"/>
        <s v="PEPSI - CARBONATED DRINK COLA"/>
        <s v="CR7 - SPORTS DRINK WITH ORANGE"/>
        <s v="Imported Banana"/>
        <s v=" TURKISH LABNEH WITH THYME "/>
        <s v=" RAYEB LEMON MINT "/>
        <s v="Spinneys Indian Shrimps With Shell "/>
        <s v="V7 - VITAMIN CARBONATED MALT DRINK W/ APPLE"/>
        <s v=" ISTAMBOLI CHEESE NATURAL "/>
        <s v="Balance Protein Crackers With Sour Cream And Onion"/>
        <s v="shahrazad Green Peas"/>
        <s v="TWIX - MINIS BISCUIT WITH MILK CHOCOLATE+CARAMEL"/>
        <s v="Barhi Dates"/>
        <s v="BRIKA - HOT DOG 1KG"/>
        <s v="Fayda Chicken Fillet Strips Spicy"/>
        <s v="Mangoes Zibdia"/>
        <s v="ABO ELSEED - BAG SALMON SLICES VACUUMED"/>
        <s v="ABO ELSEED - SALMON SPREAD"/>
      </sharedItems>
    </cacheField>
    <cacheField name="Size" numFmtId="0">
      <sharedItems/>
    </cacheField>
    <cacheField name="Cost" numFmtId="2">
      <sharedItems containsSemiMixedTypes="0" containsString="0" containsNumber="1" minValue="2.5" maxValue="500"/>
    </cacheField>
    <cacheField name="Selling Price" numFmtId="164">
      <sharedItems containsSemiMixedTypes="0" containsString="0" containsNumber="1" minValue="4.95" maxValue="600"/>
    </cacheField>
    <cacheField name="Promotion" numFmtId="0">
      <sharedItems count="2">
        <s v="NO"/>
        <s v="YES"/>
      </sharedItems>
    </cacheField>
    <cacheField name="Stock" numFmtId="0">
      <sharedItems containsSemiMixedTypes="0" containsString="0" containsNumber="1" containsInteger="1" minValue="0" maxValue="100"/>
    </cacheField>
    <cacheField name="Profit" numFmtId="164">
      <sharedItems containsSemiMixedTypes="0" containsString="0" containsNumber="1" minValue="2.4500000000000002" maxValue="100"/>
    </cacheField>
    <cacheField name="Profit Margin" numFmtId="166">
      <sharedItems containsSemiMixedTypes="0" containsString="0" containsNumber="1" minValue="0.15384615384615385" maxValue="0.63470319634703198"/>
    </cacheField>
    <cacheField name="Stock Value" numFmtId="167">
      <sharedItems containsSemiMixedTypes="0" containsString="0" containsNumber="1" minValue="0" maxValue="10000"/>
    </cacheField>
    <cacheField name="Potential Revenue" numFmtId="167">
      <sharedItems containsSemiMixedTypes="0" containsString="0" containsNumber="1" minValue="0" maxValue="14210"/>
    </cacheField>
    <cacheField name="Potential Profit" numFmtId="167">
      <sharedItems containsSemiMixedTypes="0" containsString="0" containsNumber="1" minValue="0" maxValue="44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s v="OBOUR LAND"/>
    <x v="0"/>
    <s v=" 50G"/>
    <n v="4"/>
    <n v="10.95"/>
    <x v="0"/>
    <n v="40"/>
    <n v="6.9499999999999993"/>
    <n v="0.63470319634703198"/>
    <n v="160"/>
    <n v="438"/>
    <n v="278"/>
  </r>
  <r>
    <x v="1"/>
    <x v="0"/>
    <s v="DANONE"/>
    <x v="1"/>
    <s v=" 120G"/>
    <n v="7"/>
    <n v="15.5"/>
    <x v="0"/>
    <n v="25"/>
    <n v="8.5"/>
    <n v="0.54838709677419351"/>
    <n v="175"/>
    <n v="387.5"/>
    <n v="212.5"/>
  </r>
  <r>
    <x v="2"/>
    <x v="1"/>
    <s v="ELABD"/>
    <x v="2"/>
    <s v="12 Per Pack"/>
    <n v="45"/>
    <n v="96.95"/>
    <x v="0"/>
    <n v="36"/>
    <n v="51.95"/>
    <n v="0.53584321815368752"/>
    <n v="1620"/>
    <n v="3490.2000000000003"/>
    <n v="1870.2"/>
  </r>
  <r>
    <x v="3"/>
    <x v="1"/>
    <s v="DOMTY"/>
    <x v="3"/>
    <s v="1PC"/>
    <n v="7"/>
    <n v="14.95"/>
    <x v="0"/>
    <n v="100"/>
    <n v="7.9499999999999993"/>
    <n v="0.5317725752508361"/>
    <n v="700"/>
    <n v="1495"/>
    <n v="794.99999999999989"/>
  </r>
  <r>
    <x v="4"/>
    <x v="2"/>
    <s v="7 UP"/>
    <x v="4"/>
    <s v="300ML"/>
    <n v="9"/>
    <n v="18"/>
    <x v="1"/>
    <n v="77"/>
    <n v="9"/>
    <n v="0.5"/>
    <n v="693"/>
    <n v="1386"/>
    <n v="693"/>
  </r>
  <r>
    <x v="5"/>
    <x v="3"/>
    <s v="CHIPSY"/>
    <x v="5"/>
    <s v="130G"/>
    <n v="5"/>
    <n v="10"/>
    <x v="0"/>
    <n v="35"/>
    <n v="5"/>
    <n v="0.5"/>
    <n v="175"/>
    <n v="350"/>
    <n v="175"/>
  </r>
  <r>
    <x v="6"/>
    <x v="1"/>
    <s v="RICH BAKE"/>
    <x v="6"/>
    <s v="1PC"/>
    <n v="50"/>
    <n v="99.95"/>
    <x v="0"/>
    <n v="33"/>
    <n v="49.95"/>
    <n v="0.49974987493746875"/>
    <n v="1650"/>
    <n v="3298.35"/>
    <n v="1648.3500000000001"/>
  </r>
  <r>
    <x v="7"/>
    <x v="2"/>
    <s v="VAMOS"/>
    <x v="7"/>
    <s v="300ML"/>
    <n v="10"/>
    <n v="19.95"/>
    <x v="0"/>
    <n v="95"/>
    <n v="9.9499999999999993"/>
    <n v="0.49874686716791977"/>
    <n v="950"/>
    <n v="1895.25"/>
    <n v="945.24999999999989"/>
  </r>
  <r>
    <x v="8"/>
    <x v="3"/>
    <s v="BREAK"/>
    <x v="8"/>
    <s v="65G"/>
    <n v="2.5"/>
    <n v="4.95"/>
    <x v="0"/>
    <n v="44"/>
    <n v="2.4500000000000002"/>
    <n v="0.49494949494949497"/>
    <n v="110"/>
    <n v="217.8"/>
    <n v="107.80000000000001"/>
  </r>
  <r>
    <x v="9"/>
    <x v="0"/>
    <s v="JUHAYNA"/>
    <x v="9"/>
    <s v=" 200 ML"/>
    <n v="6.75"/>
    <n v="12.95"/>
    <x v="0"/>
    <n v="50"/>
    <n v="6.1999999999999993"/>
    <n v="0.47876447876447875"/>
    <n v="337.5"/>
    <n v="647.5"/>
    <n v="309.99999999999994"/>
  </r>
  <r>
    <x v="10"/>
    <x v="3"/>
    <s v="MCVITIES"/>
    <x v="10"/>
    <s v="60G"/>
    <n v="4.5"/>
    <n v="8.5"/>
    <x v="1"/>
    <n v="23"/>
    <n v="4"/>
    <n v="0.47058823529411764"/>
    <n v="103.5"/>
    <n v="195.5"/>
    <n v="92"/>
  </r>
  <r>
    <x v="11"/>
    <x v="4"/>
    <s v="GIVREX"/>
    <x v="11"/>
    <s v="400G"/>
    <n v="11"/>
    <n v="20.5"/>
    <x v="0"/>
    <n v="50"/>
    <n v="9.5"/>
    <n v="0.46341463414634149"/>
    <n v="550"/>
    <n v="1025"/>
    <n v="475"/>
  </r>
  <r>
    <x v="12"/>
    <x v="5"/>
    <s v="UNKNOWN"/>
    <x v="12"/>
    <s v="100G"/>
    <n v="10.7"/>
    <n v="19.5"/>
    <x v="0"/>
    <n v="58"/>
    <n v="8.8000000000000007"/>
    <n v="0.45128205128205134"/>
    <n v="620.59999999999991"/>
    <n v="1131"/>
    <n v="510.40000000000003"/>
  </r>
  <r>
    <x v="13"/>
    <x v="3"/>
    <s v="BLAZO"/>
    <x v="13"/>
    <s v="1PC"/>
    <n v="5.5"/>
    <n v="10"/>
    <x v="0"/>
    <n v="44"/>
    <n v="4.5"/>
    <n v="0.45"/>
    <n v="242"/>
    <n v="440"/>
    <n v="198"/>
  </r>
  <r>
    <x v="14"/>
    <x v="6"/>
    <s v="SPINNEYS SUPREME"/>
    <x v="14"/>
    <s v="0.25Kg"/>
    <n v="15"/>
    <n v="26.488"/>
    <x v="0"/>
    <n v="44"/>
    <n v="11.488"/>
    <n v="0.43370582905466626"/>
    <n v="660"/>
    <n v="1165.472"/>
    <n v="505.47199999999998"/>
  </r>
  <r>
    <x v="15"/>
    <x v="0"/>
    <s v="GRO"/>
    <x v="15"/>
    <s v=" 1L"/>
    <n v="80"/>
    <n v="134.94999999999999"/>
    <x v="1"/>
    <n v="0"/>
    <n v="54.949999999999989"/>
    <n v="0.40718784735087066"/>
    <n v="0"/>
    <n v="0"/>
    <n v="0"/>
  </r>
  <r>
    <x v="16"/>
    <x v="1"/>
    <s v="RICH BAKE"/>
    <x v="16"/>
    <s v="200G"/>
    <n v="9.5"/>
    <n v="15.95"/>
    <x v="0"/>
    <n v="44"/>
    <n v="6.4499999999999993"/>
    <n v="0.40438871473354232"/>
    <n v="418"/>
    <n v="701.8"/>
    <n v="283.79999999999995"/>
  </r>
  <r>
    <x v="17"/>
    <x v="5"/>
    <s v="UNKNOWN"/>
    <x v="17"/>
    <s v=" 0.5 Kg"/>
    <n v="48"/>
    <n v="79.974999999999994"/>
    <x v="0"/>
    <n v="36"/>
    <n v="31.974999999999994"/>
    <n v="0.3998124413879337"/>
    <n v="1728"/>
    <n v="2879.1"/>
    <n v="1151.0999999999999"/>
  </r>
  <r>
    <x v="18"/>
    <x v="1"/>
    <s v="BRUNCH"/>
    <x v="18"/>
    <s v="1PC"/>
    <n v="9"/>
    <n v="14.95"/>
    <x v="0"/>
    <n v="99"/>
    <n v="5.9499999999999993"/>
    <n v="0.39799331103678925"/>
    <n v="891"/>
    <n v="1480.05"/>
    <n v="589.04999999999995"/>
  </r>
  <r>
    <x v="19"/>
    <x v="2"/>
    <s v="SUN TOP"/>
    <x v="19"/>
    <s v="250ML"/>
    <n v="10"/>
    <n v="16.5"/>
    <x v="0"/>
    <n v="88"/>
    <n v="6.5"/>
    <n v="0.39393939393939392"/>
    <n v="880"/>
    <n v="1452"/>
    <n v="572"/>
  </r>
  <r>
    <x v="20"/>
    <x v="2"/>
    <s v="TANG"/>
    <x v="20"/>
    <s v="40G"/>
    <n v="8"/>
    <n v="13"/>
    <x v="0"/>
    <n v="6"/>
    <n v="5"/>
    <n v="0.38461538461538464"/>
    <n v="48"/>
    <n v="78"/>
    <n v="30"/>
  </r>
  <r>
    <x v="21"/>
    <x v="5"/>
    <s v="UNKNOWN"/>
    <x v="21"/>
    <s v=" 0.5 Kg"/>
    <n v="30"/>
    <n v="48.475000000000001"/>
    <x v="1"/>
    <n v="34"/>
    <n v="18.475000000000001"/>
    <n v="0.38112429087158328"/>
    <n v="1020"/>
    <n v="1648.15"/>
    <n v="628.15000000000009"/>
  </r>
  <r>
    <x v="22"/>
    <x v="2"/>
    <s v="TANG"/>
    <x v="22"/>
    <s v="450G"/>
    <n v="50"/>
    <n v="79.95"/>
    <x v="0"/>
    <n v="17"/>
    <n v="29.950000000000003"/>
    <n v="0.37460913070669172"/>
    <n v="850"/>
    <n v="1359.15"/>
    <n v="509.15000000000003"/>
  </r>
  <r>
    <x v="23"/>
    <x v="0"/>
    <s v="ALMARAI"/>
    <x v="23"/>
    <s v=" 250G"/>
    <n v="15"/>
    <n v="23.95"/>
    <x v="0"/>
    <n v="88"/>
    <n v="8.9499999999999993"/>
    <n v="0.37369519832985382"/>
    <n v="1320"/>
    <n v="2107.6"/>
    <n v="787.59999999999991"/>
  </r>
  <r>
    <x v="24"/>
    <x v="2"/>
    <s v="VITRAC"/>
    <x v="24"/>
    <s v="635ML"/>
    <n v="66"/>
    <n v="104.45"/>
    <x v="0"/>
    <n v="0"/>
    <n v="38.450000000000003"/>
    <n v="0.36811871708951655"/>
    <n v="0"/>
    <n v="0"/>
    <n v="0"/>
  </r>
  <r>
    <x v="25"/>
    <x v="2"/>
    <s v="RAUCH"/>
    <x v="25"/>
    <s v="355ML"/>
    <n v="35"/>
    <n v="54.95"/>
    <x v="0"/>
    <n v="39"/>
    <n v="19.950000000000003"/>
    <n v="0.36305732484076436"/>
    <n v="1365"/>
    <n v="2143.0500000000002"/>
    <n v="778.05000000000007"/>
  </r>
  <r>
    <x v="26"/>
    <x v="4"/>
    <s v="SHAHD"/>
    <x v="26"/>
    <s v="400G"/>
    <n v="70"/>
    <n v="107.5"/>
    <x v="1"/>
    <n v="22"/>
    <n v="37.5"/>
    <n v="0.34883720930232559"/>
    <n v="1540"/>
    <n v="2365"/>
    <n v="825"/>
  </r>
  <r>
    <x v="27"/>
    <x v="0"/>
    <s v="DANONE"/>
    <x v="27"/>
    <s v=" 100G"/>
    <n v="6.5"/>
    <n v="9.9499999999999993"/>
    <x v="0"/>
    <n v="0"/>
    <n v="3.4499999999999993"/>
    <n v="0.34673366834170849"/>
    <n v="0"/>
    <n v="0"/>
    <n v="0"/>
  </r>
  <r>
    <x v="28"/>
    <x v="5"/>
    <s v="MAFA"/>
    <x v="28"/>
    <s v="2KG"/>
    <n v="75"/>
    <n v="113.95"/>
    <x v="0"/>
    <n v="27"/>
    <n v="38.950000000000003"/>
    <n v="0.34181658622202721"/>
    <n v="2025"/>
    <n v="3076.65"/>
    <n v="1051.6500000000001"/>
  </r>
  <r>
    <x v="29"/>
    <x v="1"/>
    <s v="ELABD"/>
    <x v="29"/>
    <s v="18 Per Pack"/>
    <n v="40"/>
    <n v="60.5"/>
    <x v="0"/>
    <n v="88"/>
    <n v="20.5"/>
    <n v="0.33884297520661155"/>
    <n v="3520"/>
    <n v="5324"/>
    <n v="1804"/>
  </r>
  <r>
    <x v="30"/>
    <x v="1"/>
    <s v="SPINNEYS SUPREME"/>
    <x v="30"/>
    <s v="1PC"/>
    <n v="33"/>
    <n v="49.5"/>
    <x v="1"/>
    <n v="100"/>
    <n v="16.5"/>
    <n v="0.33333333333333331"/>
    <n v="3300"/>
    <n v="4950"/>
    <n v="1650"/>
  </r>
  <r>
    <x v="31"/>
    <x v="3"/>
    <s v="DIDOS"/>
    <x v="31"/>
    <s v="16G"/>
    <n v="5"/>
    <n v="7.5"/>
    <x v="1"/>
    <n v="70"/>
    <n v="2.5"/>
    <n v="0.33333333333333331"/>
    <n v="350"/>
    <n v="525"/>
    <n v="175"/>
  </r>
  <r>
    <x v="32"/>
    <x v="3"/>
    <s v="DIDOS"/>
    <x v="32"/>
    <s v="16G"/>
    <n v="5"/>
    <n v="7.5"/>
    <x v="1"/>
    <n v="66"/>
    <n v="2.5"/>
    <n v="0.33333333333333331"/>
    <n v="330"/>
    <n v="495"/>
    <n v="165"/>
  </r>
  <r>
    <x v="33"/>
    <x v="3"/>
    <s v="ONIRO"/>
    <x v="33"/>
    <s v="9PC"/>
    <n v="6"/>
    <n v="9"/>
    <x v="1"/>
    <n v="33"/>
    <n v="3"/>
    <n v="0.33333333333333331"/>
    <n v="198"/>
    <n v="297"/>
    <n v="99"/>
  </r>
  <r>
    <x v="34"/>
    <x v="4"/>
    <s v="FORNI"/>
    <x v="34"/>
    <s v="426G"/>
    <n v="100"/>
    <n v="149.94999999999999"/>
    <x v="0"/>
    <n v="66"/>
    <n v="49.949999999999989"/>
    <n v="0.33311103701233741"/>
    <n v="6600"/>
    <n v="9896.6999999999989"/>
    <n v="3296.6999999999994"/>
  </r>
  <r>
    <x v="35"/>
    <x v="5"/>
    <s v="UNKNOWN"/>
    <x v="35"/>
    <s v=" 0.5 Kg"/>
    <n v="20"/>
    <n v="29.975000000000001"/>
    <x v="1"/>
    <n v="80"/>
    <n v="9.9750000000000014"/>
    <n v="0.33277731442869063"/>
    <n v="1600"/>
    <n v="2398"/>
    <n v="798.00000000000011"/>
  </r>
  <r>
    <x v="36"/>
    <x v="5"/>
    <s v="UNKNOWN"/>
    <x v="36"/>
    <s v="100G"/>
    <n v="10"/>
    <n v="14.95"/>
    <x v="0"/>
    <n v="76"/>
    <n v="4.9499999999999993"/>
    <n v="0.33110367892976583"/>
    <n v="760"/>
    <n v="1136.2"/>
    <n v="376.19999999999993"/>
  </r>
  <r>
    <x v="37"/>
    <x v="3"/>
    <s v="ROSHEN"/>
    <x v="37"/>
    <s v="216G"/>
    <n v="99"/>
    <n v="146.5"/>
    <x v="0"/>
    <n v="34"/>
    <n v="47.5"/>
    <n v="0.32423208191126279"/>
    <n v="3366"/>
    <n v="4981"/>
    <n v="1615"/>
  </r>
  <r>
    <x v="38"/>
    <x v="5"/>
    <s v="UNKNOWN"/>
    <x v="38"/>
    <s v=" 0.5 Kg"/>
    <n v="22"/>
    <n v="32.475000000000001"/>
    <x v="0"/>
    <n v="70"/>
    <n v="10.475000000000001"/>
    <n v="0.3225558121632025"/>
    <n v="1540"/>
    <n v="2273.25"/>
    <n v="733.25000000000011"/>
  </r>
  <r>
    <x v="39"/>
    <x v="1"/>
    <s v="ELABD"/>
    <x v="39"/>
    <s v="52Pc"/>
    <n v="200"/>
    <n v="290"/>
    <x v="0"/>
    <n v="49"/>
    <n v="90"/>
    <n v="0.31034482758620691"/>
    <n v="9800"/>
    <n v="14210"/>
    <n v="4410"/>
  </r>
  <r>
    <x v="40"/>
    <x v="4"/>
    <s v="HALWANI"/>
    <x v="40"/>
    <s v="900GM"/>
    <n v="180"/>
    <n v="260"/>
    <x v="1"/>
    <n v="48"/>
    <n v="80"/>
    <n v="0.30769230769230771"/>
    <n v="8640"/>
    <n v="12480"/>
    <n v="3840"/>
  </r>
  <r>
    <x v="41"/>
    <x v="4"/>
    <s v="FAYDA"/>
    <x v="41"/>
    <s v="0.2 Kg"/>
    <n v="52"/>
    <n v="74.5"/>
    <x v="1"/>
    <n v="42"/>
    <n v="22.5"/>
    <n v="0.30201342281879195"/>
    <n v="2184"/>
    <n v="3129"/>
    <n v="945"/>
  </r>
  <r>
    <x v="42"/>
    <x v="2"/>
    <s v="PEPSI"/>
    <x v="42"/>
    <s v="0.97L"/>
    <n v="21"/>
    <n v="29.75"/>
    <x v="0"/>
    <n v="33"/>
    <n v="8.75"/>
    <n v="0.29411764705882354"/>
    <n v="693"/>
    <n v="981.75"/>
    <n v="288.75"/>
  </r>
  <r>
    <x v="43"/>
    <x v="2"/>
    <s v="CR7"/>
    <x v="43"/>
    <s v="591ML"/>
    <n v="44"/>
    <n v="61.75"/>
    <x v="1"/>
    <n v="45"/>
    <n v="17.75"/>
    <n v="0.2874493927125506"/>
    <n v="1980"/>
    <n v="2778.75"/>
    <n v="798.75"/>
  </r>
  <r>
    <x v="44"/>
    <x v="5"/>
    <s v="UNKNOWN"/>
    <x v="44"/>
    <s v=" 0.5 Kg"/>
    <n v="50"/>
    <n v="69.974999999999994"/>
    <x v="0"/>
    <n v="28"/>
    <n v="19.974999999999994"/>
    <n v="0.28545909253304746"/>
    <n v="1400"/>
    <n v="1959.2999999999997"/>
    <n v="559.29999999999984"/>
  </r>
  <r>
    <x v="45"/>
    <x v="0"/>
    <s v="KIRI"/>
    <x v="45"/>
    <s v=" 150G"/>
    <n v="55"/>
    <n v="76.95"/>
    <x v="0"/>
    <n v="33"/>
    <n v="21.950000000000003"/>
    <n v="0.28525016244314494"/>
    <n v="1815"/>
    <n v="2539.35"/>
    <n v="724.35000000000014"/>
  </r>
  <r>
    <x v="46"/>
    <x v="0"/>
    <s v="ALMARAI"/>
    <x v="46"/>
    <s v=" 425G"/>
    <n v="20"/>
    <n v="27.95"/>
    <x v="1"/>
    <n v="69"/>
    <n v="7.9499999999999993"/>
    <n v="0.2844364937388193"/>
    <n v="1380"/>
    <n v="1928.55"/>
    <n v="548.54999999999995"/>
  </r>
  <r>
    <x v="47"/>
    <x v="6"/>
    <s v="SPINNEYS SUPREME"/>
    <x v="47"/>
    <s v="0.25Kg"/>
    <n v="170"/>
    <n v="237.488"/>
    <x v="0"/>
    <n v="55"/>
    <n v="67.488"/>
    <n v="0.2841743582833659"/>
    <n v="9350"/>
    <n v="13061.84"/>
    <n v="3711.84"/>
  </r>
  <r>
    <x v="48"/>
    <x v="2"/>
    <s v="V7"/>
    <x v="48"/>
    <s v="300ML"/>
    <n v="10"/>
    <n v="13.95"/>
    <x v="1"/>
    <n v="60"/>
    <n v="3.9499999999999993"/>
    <n v="0.28315412186379924"/>
    <n v="600"/>
    <n v="837"/>
    <n v="236.99999999999994"/>
  </r>
  <r>
    <x v="49"/>
    <x v="0"/>
    <s v="LAVACH"/>
    <x v="49"/>
    <s v=" 450G"/>
    <n v="70"/>
    <n v="97.5"/>
    <x v="1"/>
    <n v="20"/>
    <n v="27.5"/>
    <n v="0.28205128205128205"/>
    <n v="1400"/>
    <n v="1950"/>
    <n v="550"/>
  </r>
  <r>
    <x v="50"/>
    <x v="3"/>
    <s v="BALANCE"/>
    <x v="50"/>
    <s v="70 - 78G"/>
    <n v="11"/>
    <n v="15"/>
    <x v="0"/>
    <n v="20"/>
    <n v="4"/>
    <n v="0.26666666666666666"/>
    <n v="220"/>
    <n v="300"/>
    <n v="80"/>
  </r>
  <r>
    <x v="51"/>
    <x v="4"/>
    <s v="SHAHRAZAD"/>
    <x v="51"/>
    <s v="400G"/>
    <n v="46"/>
    <n v="62.5"/>
    <x v="0"/>
    <n v="44"/>
    <n v="16.5"/>
    <n v="0.26400000000000001"/>
    <n v="2024"/>
    <n v="2750"/>
    <n v="726"/>
  </r>
  <r>
    <x v="52"/>
    <x v="3"/>
    <s v="TWIX"/>
    <x v="52"/>
    <s v="180G"/>
    <n v="175"/>
    <n v="236.95"/>
    <x v="0"/>
    <n v="0"/>
    <n v="61.949999999999989"/>
    <n v="0.26144756277695713"/>
    <n v="0"/>
    <n v="0"/>
    <n v="0"/>
  </r>
  <r>
    <x v="53"/>
    <x v="5"/>
    <s v="UNKNOWN"/>
    <x v="53"/>
    <s v=" 0.5 Kg"/>
    <n v="60"/>
    <n v="80.474999999999994"/>
    <x v="0"/>
    <n v="10"/>
    <n v="20.474999999999994"/>
    <n v="0.25442684063373711"/>
    <n v="600"/>
    <n v="804.75"/>
    <n v="204.74999999999994"/>
  </r>
  <r>
    <x v="54"/>
    <x v="4"/>
    <s v="BRIKA"/>
    <x v="54"/>
    <s v="25P"/>
    <n v="177"/>
    <n v="235.25"/>
    <x v="0"/>
    <n v="34"/>
    <n v="58.25"/>
    <n v="0.24760892667375134"/>
    <n v="6018"/>
    <n v="7998.5"/>
    <n v="1980.5"/>
  </r>
  <r>
    <x v="55"/>
    <x v="4"/>
    <s v="FAYDA"/>
    <x v="55"/>
    <s v="1Kg"/>
    <n v="180"/>
    <n v="235.25"/>
    <x v="1"/>
    <n v="44"/>
    <n v="55.25"/>
    <n v="0.23485653560042508"/>
    <n v="7920"/>
    <n v="10351"/>
    <n v="2431"/>
  </r>
  <r>
    <x v="56"/>
    <x v="5"/>
    <s v="UNKNOWN"/>
    <x v="56"/>
    <s v="0.5 Kg"/>
    <n v="25"/>
    <n v="32.475000000000001"/>
    <x v="1"/>
    <n v="66"/>
    <n v="7.4750000000000014"/>
    <n v="0.23017705927636647"/>
    <n v="1650"/>
    <n v="2143.35"/>
    <n v="493.35000000000008"/>
  </r>
  <r>
    <x v="57"/>
    <x v="4"/>
    <s v="ABO ELSEED"/>
    <x v="57"/>
    <s v="250G"/>
    <n v="500"/>
    <n v="600"/>
    <x v="0"/>
    <n v="20"/>
    <n v="100"/>
    <n v="0.16666666666666666"/>
    <n v="10000"/>
    <n v="12000"/>
    <n v="2000"/>
  </r>
  <r>
    <x v="58"/>
    <x v="4"/>
    <s v="ABO ELSEED"/>
    <x v="58"/>
    <s v="120G"/>
    <n v="55"/>
    <n v="65"/>
    <x v="0"/>
    <n v="10"/>
    <n v="10"/>
    <n v="0.15384615384615385"/>
    <n v="550"/>
    <n v="65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9387A-A741-478B-982E-65FBEE780BC6}" name="Top 10 Products by Profit Margin" cacheId="26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49:B59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60">
        <item x="15"/>
        <item x="23"/>
        <item x="49"/>
        <item x="9"/>
        <item x="46"/>
        <item x="0"/>
        <item x="1"/>
        <item x="45"/>
        <item x="27"/>
        <item x="4"/>
        <item x="57"/>
        <item x="58"/>
        <item x="50"/>
        <item x="53"/>
        <item x="13"/>
        <item x="8"/>
        <item x="54"/>
        <item x="18"/>
        <item x="5"/>
        <item x="36"/>
        <item x="43"/>
        <item x="31"/>
        <item x="32"/>
        <item x="3"/>
        <item x="2"/>
        <item x="39"/>
        <item x="29"/>
        <item x="41"/>
        <item x="55"/>
        <item x="34"/>
        <item x="11"/>
        <item x="40"/>
        <item x="17"/>
        <item x="44"/>
        <item x="12"/>
        <item x="35"/>
        <item x="56"/>
        <item x="10"/>
        <item x="28"/>
        <item x="33"/>
        <item x="42"/>
        <item x="25"/>
        <item x="21"/>
        <item x="16"/>
        <item x="6"/>
        <item x="37"/>
        <item x="14"/>
        <item x="26"/>
        <item x="51"/>
        <item x="30"/>
        <item x="47"/>
        <item x="19"/>
        <item x="22"/>
        <item x="20"/>
        <item x="52"/>
        <item x="48"/>
        <item x="7"/>
        <item x="24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" outline="0" showAll="0"/>
    <pivotField compact="0" numFmtId="164" outline="0" showAll="0"/>
    <pivotField compact="0" outline="0" showAll="0"/>
    <pivotField compact="0" outline="0" showAll="0"/>
    <pivotField compact="0" numFmtId="164" outline="0" showAll="0"/>
    <pivotField dataField="1" compact="0" numFmtId="166" outline="0" showAll="0"/>
    <pivotField compact="0" numFmtId="167" outline="0" showAll="0"/>
    <pivotField compact="0" numFmtId="167" outline="0" showAll="0"/>
    <pivotField compact="0" numFmtId="167" outline="0" showAll="0"/>
  </pivotFields>
  <rowFields count="1">
    <field x="3"/>
  </rowFields>
  <rowItems count="10">
    <i>
      <x v="5"/>
    </i>
    <i>
      <x v="6"/>
    </i>
    <i>
      <x v="24"/>
    </i>
    <i>
      <x v="23"/>
    </i>
    <i>
      <x v="18"/>
    </i>
    <i>
      <x v="9"/>
    </i>
    <i>
      <x v="44"/>
    </i>
    <i>
      <x v="56"/>
    </i>
    <i>
      <x v="15"/>
    </i>
    <i>
      <x v="3"/>
    </i>
  </rowItems>
  <colItems count="1">
    <i/>
  </colItems>
  <dataFields count="1">
    <dataField name="Sum of Profit Margin" fld="10" baseField="0" baseItem="0" numFmtId="166"/>
  </dataFields>
  <pivotTableStyleInfo name="PivotStyleMedium9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72AD5-8652-4282-A0D3-FFAD6F134504}" name="Out of Stock" cacheId="26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27:B31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 measureFilter="1">
      <items count="60">
        <item x="15"/>
        <item x="23"/>
        <item x="49"/>
        <item x="9"/>
        <item x="46"/>
        <item x="0"/>
        <item x="1"/>
        <item x="45"/>
        <item x="27"/>
        <item x="4"/>
        <item x="57"/>
        <item x="58"/>
        <item x="50"/>
        <item x="53"/>
        <item x="13"/>
        <item x="8"/>
        <item x="54"/>
        <item x="18"/>
        <item x="5"/>
        <item x="36"/>
        <item x="43"/>
        <item x="31"/>
        <item x="32"/>
        <item x="3"/>
        <item x="2"/>
        <item x="39"/>
        <item x="29"/>
        <item x="41"/>
        <item x="55"/>
        <item x="34"/>
        <item x="11"/>
        <item x="40"/>
        <item x="17"/>
        <item x="44"/>
        <item x="12"/>
        <item x="35"/>
        <item x="56"/>
        <item x="10"/>
        <item x="28"/>
        <item x="33"/>
        <item x="42"/>
        <item x="25"/>
        <item x="21"/>
        <item x="16"/>
        <item x="6"/>
        <item x="37"/>
        <item x="14"/>
        <item x="26"/>
        <item x="51"/>
        <item x="30"/>
        <item x="47"/>
        <item x="19"/>
        <item x="22"/>
        <item x="20"/>
        <item x="52"/>
        <item x="48"/>
        <item x="7"/>
        <item x="24"/>
        <item x="38"/>
        <item t="default"/>
      </items>
    </pivotField>
    <pivotField compact="0" outline="0" showAll="0"/>
    <pivotField compact="0" numFmtId="2" outline="0" showAll="0"/>
    <pivotField compact="0" numFmtId="164" outline="0" showAll="0"/>
    <pivotField compact="0" outline="0" showAll="0"/>
    <pivotField dataField="1" compact="0" outline="0" showAll="0"/>
    <pivotField compact="0" numFmtId="164" outline="0" showAll="0"/>
    <pivotField compact="0" numFmtId="166" outline="0" showAll="0"/>
    <pivotField compact="0" numFmtId="167" outline="0" showAll="0"/>
    <pivotField compact="0" numFmtId="167" outline="0" showAll="0"/>
    <pivotField compact="0" numFmtId="167" outline="0" showAll="0"/>
  </pivotFields>
  <rowFields count="1">
    <field x="3"/>
  </rowFields>
  <rowItems count="4">
    <i>
      <x/>
    </i>
    <i>
      <x v="8"/>
    </i>
    <i>
      <x v="54"/>
    </i>
    <i>
      <x v="57"/>
    </i>
  </rowItems>
  <colItems count="1">
    <i/>
  </colItems>
  <dataFields count="1">
    <dataField name="Sum of Stock" fld="8" baseField="0" baseItem="0"/>
  </dataFields>
  <pivotTableStyleInfo name="PivotStyleMedium9" showRowHeaders="1" showColHeaders="1" showRowStripes="0" showColStripes="0" showLastColumn="1"/>
  <filters count="1">
    <filter fld="3" type="valueEqual" evalOrder="-1" id="1" iMeasureFld="0">
      <autoFilter ref="A1">
        <filterColumn colId="0">
          <customFilters>
            <customFilter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04E09-86FB-4E45-924B-5E9DD36C562F}" name="Top 10 Most Profitable Products" cacheId="26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13:C24" firstHeaderRow="0" firstDataRow="1" firstDataCol="1"/>
  <pivotFields count="14">
    <pivotField compact="0" outline="0" showAll="0"/>
    <pivotField compact="0" outline="0" showAll="0">
      <items count="8">
        <item x="1"/>
        <item x="2"/>
        <item x="0"/>
        <item x="4"/>
        <item x="5"/>
        <item x="6"/>
        <item x="3"/>
        <item t="default"/>
      </items>
    </pivotField>
    <pivotField compact="0" outline="0" showAll="0"/>
    <pivotField axis="axisRow" compact="0" outline="0" showAll="0" measureFilter="1" sortType="descending">
      <items count="60">
        <item x="15"/>
        <item x="23"/>
        <item x="49"/>
        <item x="9"/>
        <item x="46"/>
        <item x="0"/>
        <item x="1"/>
        <item x="45"/>
        <item x="27"/>
        <item x="4"/>
        <item x="57"/>
        <item x="58"/>
        <item x="50"/>
        <item x="53"/>
        <item x="13"/>
        <item x="8"/>
        <item x="54"/>
        <item x="18"/>
        <item x="5"/>
        <item x="36"/>
        <item x="43"/>
        <item x="31"/>
        <item x="32"/>
        <item x="3"/>
        <item x="2"/>
        <item x="39"/>
        <item x="29"/>
        <item x="41"/>
        <item x="55"/>
        <item x="34"/>
        <item x="11"/>
        <item x="40"/>
        <item x="17"/>
        <item x="44"/>
        <item x="12"/>
        <item x="35"/>
        <item x="56"/>
        <item x="10"/>
        <item x="28"/>
        <item x="33"/>
        <item x="42"/>
        <item x="25"/>
        <item x="21"/>
        <item x="16"/>
        <item x="6"/>
        <item x="37"/>
        <item x="14"/>
        <item x="26"/>
        <item x="51"/>
        <item x="30"/>
        <item x="47"/>
        <item x="19"/>
        <item x="22"/>
        <item x="20"/>
        <item x="52"/>
        <item x="48"/>
        <item x="7"/>
        <item x="24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" outline="0" showAll="0"/>
    <pivotField compact="0" numFmtId="164" outline="0" showAll="0"/>
    <pivotField compact="0" outline="0" showAll="0"/>
    <pivotField dataField="1" compact="0" outline="0" showAll="0"/>
    <pivotField compact="0" numFmtId="164" outline="0" showAll="0"/>
    <pivotField compact="0" numFmtId="166" outline="0" showAll="0"/>
    <pivotField compact="0" numFmtId="167" outline="0" showAll="0"/>
    <pivotField compact="0" numFmtId="167" outline="0" showAll="0"/>
    <pivotField dataField="1" compact="0" numFmtId="167" outline="0" showAll="0"/>
  </pivotFields>
  <rowFields count="1">
    <field x="3"/>
  </rowFields>
  <rowItems count="11">
    <i>
      <x v="25"/>
    </i>
    <i>
      <x v="31"/>
    </i>
    <i>
      <x v="50"/>
    </i>
    <i>
      <x v="29"/>
    </i>
    <i>
      <x v="28"/>
    </i>
    <i>
      <x v="10"/>
    </i>
    <i>
      <x v="16"/>
    </i>
    <i>
      <x v="24"/>
    </i>
    <i>
      <x v="26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tential Profit" fld="13" baseField="0" baseItem="0" numFmtId="167"/>
    <dataField name="Sum of Stock" fld="8" baseField="0" baseItem="0"/>
  </dataFields>
  <pivotTableStyleInfo name="PivotStyleMedium9" showRowHeaders="1" showColHeaders="1" showRowStripes="0" showColStripes="0" showLastColumn="1"/>
  <filters count="1">
    <filter fld="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1CF6-2EC4-4313-B6D0-4CD3102F6191}" name="Potential Profit by Category" cacheId="2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E9" firstHeaderRow="0" firstDataRow="1" firstDataCol="1"/>
  <pivotFields count="14">
    <pivotField compact="0" outline="0" showAll="0"/>
    <pivotField axis="axisRow" compact="0" outline="0" showAll="0" sortType="descending">
      <items count="8">
        <item x="3"/>
        <item x="6"/>
        <item x="5"/>
        <item x="4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60">
        <item x="15"/>
        <item x="23"/>
        <item x="49"/>
        <item x="9"/>
        <item x="46"/>
        <item x="0"/>
        <item x="1"/>
        <item x="45"/>
        <item x="27"/>
        <item x="4"/>
        <item x="57"/>
        <item x="58"/>
        <item x="50"/>
        <item x="53"/>
        <item x="13"/>
        <item x="8"/>
        <item x="54"/>
        <item x="18"/>
        <item x="5"/>
        <item x="36"/>
        <item x="43"/>
        <item x="31"/>
        <item x="32"/>
        <item x="3"/>
        <item x="2"/>
        <item x="39"/>
        <item x="29"/>
        <item x="41"/>
        <item x="55"/>
        <item x="34"/>
        <item x="11"/>
        <item x="40"/>
        <item x="17"/>
        <item x="44"/>
        <item x="12"/>
        <item x="35"/>
        <item x="56"/>
        <item x="10"/>
        <item x="28"/>
        <item x="33"/>
        <item x="42"/>
        <item x="25"/>
        <item x="21"/>
        <item x="16"/>
        <item x="6"/>
        <item x="37"/>
        <item x="14"/>
        <item x="26"/>
        <item x="51"/>
        <item x="30"/>
        <item x="47"/>
        <item x="19"/>
        <item x="22"/>
        <item x="20"/>
        <item x="52"/>
        <item x="48"/>
        <item x="7"/>
        <item x="24"/>
        <item x="38"/>
        <item t="default"/>
      </items>
    </pivotField>
    <pivotField compact="0" outline="0" showAll="0"/>
    <pivotField compact="0" numFmtId="2" outline="0" showAll="0"/>
    <pivotField compact="0" numFmtId="164" outline="0" showAll="0"/>
    <pivotField compact="0" outline="0" showAll="0"/>
    <pivotField dataField="1" compact="0" outline="0" showAll="0"/>
    <pivotField compact="0" numFmtId="164" outline="0" showAll="0"/>
    <pivotField compact="0" numFmtId="166" outline="0" showAll="0"/>
    <pivotField dataField="1" compact="0" numFmtId="167" outline="0" showAll="0"/>
    <pivotField dataField="1" compact="0" numFmtId="167" outline="0" showAll="0"/>
    <pivotField dataField="1" compact="0" numFmtId="167" outline="0" showAll="0"/>
  </pivotFields>
  <rowFields count="1">
    <field x="1"/>
  </rowFields>
  <rowItems count="8">
    <i>
      <x v="6"/>
    </i>
    <i>
      <x v="2"/>
    </i>
    <i>
      <x v="5"/>
    </i>
    <i>
      <x v="3"/>
    </i>
    <i>
      <x/>
    </i>
    <i>
      <x v="4"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tock" fld="8" baseField="0" baseItem="0"/>
    <dataField name="Sum of Stock Value" fld="11" baseField="0" baseItem="0" numFmtId="168"/>
    <dataField name="Sum of Potential Revenue" fld="12" baseField="0" baseItem="0" numFmtId="168"/>
    <dataField name="Sum of Potential Profit" fld="13" baseField="0" baseItem="0" numFmtId="168"/>
  </dataFields>
  <formats count="3">
    <format dxfId="18">
      <pivotArea outline="0" fieldPosition="0">
        <references count="1">
          <reference field="4294967294" count="1" selected="0">
            <x v="1"/>
          </reference>
        </references>
      </pivotArea>
    </format>
    <format dxfId="19">
      <pivotArea outline="0" fieldPosition="0">
        <references count="1">
          <reference field="4294967294" count="1" selected="0">
            <x v="2"/>
          </reference>
        </references>
      </pivotArea>
    </format>
    <format dxfId="20">
      <pivotArea outline="0" fieldPosition="0">
        <references count="1">
          <reference field="4294967294" count="1" selected="0"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12904-C90D-4D01-9CB5-4BCD7FB3FD1A}" name="Promotion Analysis" cacheId="2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62:E65" firstHeaderRow="0" firstDataRow="1" firstDataCol="1"/>
  <pivotFields count="14">
    <pivotField dataField="1" compact="0" outline="0" showAll="0">
      <items count="60">
        <item x="23"/>
        <item x="49"/>
        <item x="1"/>
        <item x="9"/>
        <item x="45"/>
        <item x="15"/>
        <item x="46"/>
        <item x="27"/>
        <item x="0"/>
        <item x="28"/>
        <item x="56"/>
        <item x="35"/>
        <item x="21"/>
        <item x="44"/>
        <item x="17"/>
        <item x="38"/>
        <item x="53"/>
        <item x="36"/>
        <item x="12"/>
        <item x="4"/>
        <item x="22"/>
        <item x="20"/>
        <item x="7"/>
        <item x="42"/>
        <item x="19"/>
        <item x="43"/>
        <item x="48"/>
        <item x="24"/>
        <item x="25"/>
        <item x="52"/>
        <item x="37"/>
        <item x="10"/>
        <item x="31"/>
        <item x="33"/>
        <item x="32"/>
        <item x="13"/>
        <item x="5"/>
        <item x="8"/>
        <item x="50"/>
        <item x="34"/>
        <item x="40"/>
        <item x="54"/>
        <item x="41"/>
        <item x="51"/>
        <item x="11"/>
        <item x="57"/>
        <item x="58"/>
        <item x="55"/>
        <item x="26"/>
        <item x="14"/>
        <item x="47"/>
        <item x="16"/>
        <item x="18"/>
        <item x="30"/>
        <item x="3"/>
        <item x="6"/>
        <item x="39"/>
        <item x="29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64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numFmtId="164" outline="0" showAll="0"/>
    <pivotField compact="0" numFmtId="166" outline="0" showAll="0"/>
    <pivotField compact="0" numFmtId="167" outline="0" showAll="0"/>
    <pivotField dataField="1" compact="0" numFmtId="167" outline="0" showAll="0"/>
    <pivotField dataField="1" compact="0" numFmtId="167" outline="0"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roduct ID" fld="0" subtotal="count" baseField="0" baseItem="0"/>
    <dataField name="Sum of Stock" fld="8" baseField="0" baseItem="0"/>
    <dataField name="Sum of Potential Profit" fld="13" baseField="0" baseItem="0" numFmtId="167"/>
    <dataField name="Sum of Potential Revenue" fld="12" baseField="0" baseItem="0" numFmtId="167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0058A-9299-47B3-A5F0-C83180CE78BE}" name="Low Stock Products" cacheId="26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6:B45" firstHeaderRow="1" firstDataRow="1" firstDataCol="1"/>
  <pivotFields count="14"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60">
        <item x="15"/>
        <item x="23"/>
        <item x="49"/>
        <item x="9"/>
        <item x="46"/>
        <item x="0"/>
        <item x="1"/>
        <item x="45"/>
        <item x="27"/>
        <item x="4"/>
        <item x="57"/>
        <item x="58"/>
        <item x="50"/>
        <item x="53"/>
        <item x="13"/>
        <item x="8"/>
        <item x="54"/>
        <item x="18"/>
        <item x="5"/>
        <item x="36"/>
        <item x="43"/>
        <item x="31"/>
        <item x="32"/>
        <item x="3"/>
        <item x="2"/>
        <item x="39"/>
        <item x="29"/>
        <item x="41"/>
        <item x="55"/>
        <item x="34"/>
        <item x="11"/>
        <item x="40"/>
        <item x="17"/>
        <item x="44"/>
        <item x="12"/>
        <item x="35"/>
        <item x="56"/>
        <item x="10"/>
        <item x="28"/>
        <item x="33"/>
        <item x="42"/>
        <item x="25"/>
        <item x="21"/>
        <item x="16"/>
        <item x="6"/>
        <item x="37"/>
        <item x="14"/>
        <item x="26"/>
        <item x="51"/>
        <item x="30"/>
        <item x="47"/>
        <item x="19"/>
        <item x="22"/>
        <item x="20"/>
        <item x="52"/>
        <item x="48"/>
        <item x="7"/>
        <item x="24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" outline="0" showAll="0"/>
    <pivotField compact="0" numFmtId="164" outline="0" showAll="0"/>
    <pivotField compact="0" outline="0" showAll="0"/>
    <pivotField dataField="1" compact="0" outline="0" showAll="0"/>
    <pivotField compact="0" numFmtId="164" outline="0" showAll="0"/>
    <pivotField compact="0" numFmtId="166" outline="0" showAll="0"/>
    <pivotField compact="0" numFmtId="167" outline="0" showAll="0"/>
    <pivotField compact="0" numFmtId="167" outline="0" showAll="0"/>
    <pivotField compact="0" numFmtId="167" outline="0" showAll="0"/>
  </pivotFields>
  <rowFields count="1">
    <field x="3"/>
  </rowFields>
  <rowItems count="9">
    <i>
      <x/>
    </i>
    <i>
      <x v="57"/>
    </i>
    <i>
      <x v="54"/>
    </i>
    <i>
      <x v="8"/>
    </i>
    <i>
      <x v="53"/>
    </i>
    <i>
      <x v="13"/>
    </i>
    <i>
      <x v="11"/>
    </i>
    <i>
      <x v="52"/>
    </i>
    <i t="grand">
      <x/>
    </i>
  </rowItems>
  <colItems count="1">
    <i/>
  </colItems>
  <dataFields count="1">
    <dataField name="Sum of Stock" fld="8" baseField="0" baseItem="0"/>
  </dataFields>
  <pivotTableStyleInfo name="PivotStyleMedium9" showRowHeaders="1" showColHeaders="1" showRowStripes="0" showColStripes="0" showLastColumn="1"/>
  <filters count="1">
    <filter fld="3" type="valueLessThan" evalOrder="-1" id="1" iMeasureFld="0">
      <autoFilter ref="A1">
        <filterColumn colId="0">
          <customFilters>
            <customFilter operator="lessThan" val="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06E8A-F7FE-4DCD-85F4-7B06DE74774A}" name="Product" displayName="Product" ref="A1:N60" totalsRowShown="0" headerRowDxfId="16" dataDxfId="15">
  <autoFilter ref="A1:N60" xr:uid="{54506E8A-F7FE-4DCD-85F4-7B06DE74774A}"/>
  <sortState xmlns:xlrd2="http://schemas.microsoft.com/office/spreadsheetml/2017/richdata2" ref="A2:N60">
    <sortCondition descending="1" ref="K1:K60"/>
  </sortState>
  <tableColumns count="14">
    <tableColumn id="1" xr3:uid="{6FFD691C-56A8-42B7-BD2D-F8F9961F7D33}" name="Product ID" dataDxfId="14"/>
    <tableColumn id="2" xr3:uid="{98FB9FDF-0051-42D4-B1C7-27E5C8139D14}" name="Category" dataDxfId="13"/>
    <tableColumn id="3" xr3:uid="{7964EC0A-9E24-41C4-A10C-F263FEC56BC8}" name="Vendor/Brand" dataDxfId="12"/>
    <tableColumn id="4" xr3:uid="{6B49D40F-F508-45C6-A669-806726ADAA16}" name="Product Name" dataDxfId="11"/>
    <tableColumn id="5" xr3:uid="{B81581C5-BD74-42E3-9117-6D5499F2CE39}" name="Size" dataDxfId="10"/>
    <tableColumn id="6" xr3:uid="{0B45B231-CD50-497F-9664-4B8D679A39DA}" name="Cost" dataDxfId="9"/>
    <tableColumn id="7" xr3:uid="{1D38361C-0CCC-45A6-A66A-CC996E4FCC5D}" name="Selling Price" dataDxfId="8"/>
    <tableColumn id="8" xr3:uid="{DEBF6646-339C-4C27-8CE1-281539849F1F}" name="Promotion" dataDxfId="7"/>
    <tableColumn id="9" xr3:uid="{9AC2E224-EA11-4527-9687-5F404ACD2A8E}" name="Stock" dataDxfId="6"/>
    <tableColumn id="10" xr3:uid="{80F79600-4AD0-4EBA-ACE2-DCA5CF46CC07}" name="Profit" dataDxfId="5">
      <calculatedColumnFormula>Product[[#This Row],[Selling Price]]-Product[[#This Row],[Cost]]</calculatedColumnFormula>
    </tableColumn>
    <tableColumn id="11" xr3:uid="{BB0D7F8C-B308-4AB3-9D62-D13D7FA7D429}" name="Profit Margin" dataDxfId="4">
      <calculatedColumnFormula>Product[[#This Row],[Profit]]/Product[[#This Row],[Selling Price]]</calculatedColumnFormula>
    </tableColumn>
    <tableColumn id="12" xr3:uid="{D6D7BD68-0805-4355-AD83-57541E655B3A}" name="Stock Value" dataDxfId="3">
      <calculatedColumnFormula>Product[[#This Row],[Stock]]*Product[[#This Row],[Cost]]</calculatedColumnFormula>
    </tableColumn>
    <tableColumn id="13" xr3:uid="{6836293D-D31E-4A50-BEE7-D690D5FF9273}" name="Potential Revenue" dataDxfId="2">
      <calculatedColumnFormula>Product[[#This Row],[Stock]]*Product[[#This Row],[Selling Price]]</calculatedColumnFormula>
    </tableColumn>
    <tableColumn id="14" xr3:uid="{200EDA44-926D-4D65-BD0E-F9EB2B7C6C56}" name="Potential Profit" dataDxfId="1">
      <calculatedColumnFormula>Product[[#This Row],[Stock]]*Product[[#This Row],[Profit]]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EEABBF-17ED-44B6-8E55-A31D7B252745}" name="Table2" displayName="Table2" ref="A1:B7" totalsRowShown="0" headerRowDxfId="0">
  <autoFilter ref="A1:B7" xr:uid="{67EEABBF-17ED-44B6-8E55-A31D7B252745}"/>
  <tableColumns count="2">
    <tableColumn id="1" xr3:uid="{1CA1CF68-E339-457E-9C49-5C5940B37A74}" name="Check"/>
    <tableColumn id="2" xr3:uid="{A26D164A-974C-4FBE-B7FB-94C62B1A3754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workbookViewId="0">
      <pane ySplit="1" topLeftCell="D40" activePane="bottomLeft" state="frozen"/>
      <selection pane="bottomLeft"/>
    </sheetView>
  </sheetViews>
  <sheetFormatPr defaultRowHeight="15"/>
  <cols>
    <col min="1" max="1" width="15.5703125" style="2" bestFit="1" customWidth="1"/>
    <col min="2" max="2" width="19.5703125" style="2" bestFit="1" customWidth="1"/>
    <col min="3" max="3" width="19.85546875" style="2" bestFit="1" customWidth="1"/>
    <col min="4" max="4" width="64.85546875" style="2" bestFit="1" customWidth="1"/>
    <col min="5" max="5" width="11.28515625" style="2" bestFit="1" customWidth="1"/>
    <col min="6" max="6" width="12.140625" style="8" bestFit="1" customWidth="1"/>
    <col min="7" max="7" width="17.28515625" style="4" bestFit="1" customWidth="1"/>
    <col min="8" max="8" width="15.7109375" style="2" bestFit="1" customWidth="1"/>
    <col min="9" max="9" width="9.85546875" style="2" bestFit="1" customWidth="1"/>
    <col min="10" max="10" width="12.140625" style="2" bestFit="1" customWidth="1"/>
    <col min="11" max="11" width="18.7109375" style="11" bestFit="1" customWidth="1"/>
    <col min="12" max="12" width="16.85546875" style="13" bestFit="1" customWidth="1"/>
    <col min="13" max="13" width="24.5703125" style="13" bestFit="1" customWidth="1"/>
    <col min="14" max="14" width="21.140625" style="13" bestFit="1" customWidth="1"/>
    <col min="15" max="16384" width="9.140625" style="2"/>
  </cols>
  <sheetData>
    <row r="1" spans="1:14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2" t="s">
        <v>11</v>
      </c>
      <c r="M1" s="12" t="s">
        <v>12</v>
      </c>
      <c r="N1" s="12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9">
        <v>4</v>
      </c>
      <c r="G2" s="4">
        <v>10.95</v>
      </c>
      <c r="H2" s="2" t="s">
        <v>19</v>
      </c>
      <c r="I2" s="2">
        <v>40</v>
      </c>
      <c r="J2" s="4">
        <f>Product[[#This Row],[Selling Price]]-Product[[#This Row],[Cost]]</f>
        <v>6.9499999999999993</v>
      </c>
      <c r="K2" s="11">
        <f>Product[[#This Row],[Profit]]/Product[[#This Row],[Selling Price]]</f>
        <v>0.63470319634703198</v>
      </c>
      <c r="L2" s="13">
        <f>Product[[#This Row],[Stock]]*Product[[#This Row],[Cost]]</f>
        <v>160</v>
      </c>
      <c r="M2" s="13">
        <f>Product[[#This Row],[Stock]]*Product[[#This Row],[Selling Price]]</f>
        <v>438</v>
      </c>
      <c r="N2" s="13">
        <f>Product[[#This Row],[Stock]]*Product[[#This Row],[Profit]]</f>
        <v>278</v>
      </c>
    </row>
    <row r="3" spans="1:14">
      <c r="A3" s="2" t="s">
        <v>20</v>
      </c>
      <c r="B3" s="2" t="s">
        <v>15</v>
      </c>
      <c r="C3" s="2" t="s">
        <v>21</v>
      </c>
      <c r="D3" s="2" t="s">
        <v>22</v>
      </c>
      <c r="E3" s="2" t="s">
        <v>23</v>
      </c>
      <c r="F3" s="9">
        <v>7</v>
      </c>
      <c r="G3" s="4">
        <v>15.5</v>
      </c>
      <c r="H3" s="2" t="s">
        <v>19</v>
      </c>
      <c r="I3" s="2">
        <v>25</v>
      </c>
      <c r="J3" s="4">
        <f>Product[[#This Row],[Selling Price]]-Product[[#This Row],[Cost]]</f>
        <v>8.5</v>
      </c>
      <c r="K3" s="11">
        <f>Product[[#This Row],[Profit]]/Product[[#This Row],[Selling Price]]</f>
        <v>0.54838709677419351</v>
      </c>
      <c r="L3" s="13">
        <f>Product[[#This Row],[Stock]]*Product[[#This Row],[Cost]]</f>
        <v>175</v>
      </c>
      <c r="M3" s="13">
        <f>Product[[#This Row],[Stock]]*Product[[#This Row],[Selling Price]]</f>
        <v>387.5</v>
      </c>
      <c r="N3" s="13">
        <f>Product[[#This Row],[Stock]]*Product[[#This Row],[Profit]]</f>
        <v>212.5</v>
      </c>
    </row>
    <row r="4" spans="1:1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9">
        <v>45</v>
      </c>
      <c r="G4" s="4">
        <v>96.95</v>
      </c>
      <c r="H4" s="2" t="s">
        <v>19</v>
      </c>
      <c r="I4" s="2">
        <v>36</v>
      </c>
      <c r="J4" s="4">
        <f>Product[[#This Row],[Selling Price]]-Product[[#This Row],[Cost]]</f>
        <v>51.95</v>
      </c>
      <c r="K4" s="11">
        <f>Product[[#This Row],[Profit]]/Product[[#This Row],[Selling Price]]</f>
        <v>0.53584321815368752</v>
      </c>
      <c r="L4" s="13">
        <f>Product[[#This Row],[Stock]]*Product[[#This Row],[Cost]]</f>
        <v>1620</v>
      </c>
      <c r="M4" s="13">
        <f>Product[[#This Row],[Stock]]*Product[[#This Row],[Selling Price]]</f>
        <v>3490.2000000000003</v>
      </c>
      <c r="N4" s="13">
        <f>Product[[#This Row],[Stock]]*Product[[#This Row],[Profit]]</f>
        <v>1870.2</v>
      </c>
    </row>
    <row r="5" spans="1:14">
      <c r="A5" s="2" t="s">
        <v>29</v>
      </c>
      <c r="B5" s="2" t="s">
        <v>25</v>
      </c>
      <c r="C5" s="2" t="s">
        <v>30</v>
      </c>
      <c r="D5" s="2" t="s">
        <v>31</v>
      </c>
      <c r="E5" s="2" t="s">
        <v>32</v>
      </c>
      <c r="F5" s="9">
        <v>7</v>
      </c>
      <c r="G5" s="4">
        <v>14.95</v>
      </c>
      <c r="H5" s="2" t="s">
        <v>19</v>
      </c>
      <c r="I5" s="2">
        <v>100</v>
      </c>
      <c r="J5" s="4">
        <f>Product[[#This Row],[Selling Price]]-Product[[#This Row],[Cost]]</f>
        <v>7.9499999999999993</v>
      </c>
      <c r="K5" s="11">
        <f>Product[[#This Row],[Profit]]/Product[[#This Row],[Selling Price]]</f>
        <v>0.5317725752508361</v>
      </c>
      <c r="L5" s="13">
        <f>Product[[#This Row],[Stock]]*Product[[#This Row],[Cost]]</f>
        <v>700</v>
      </c>
      <c r="M5" s="13">
        <f>Product[[#This Row],[Stock]]*Product[[#This Row],[Selling Price]]</f>
        <v>1495</v>
      </c>
      <c r="N5" s="13">
        <f>Product[[#This Row],[Stock]]*Product[[#This Row],[Profit]]</f>
        <v>794.99999999999989</v>
      </c>
    </row>
    <row r="6" spans="1:14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9">
        <v>9</v>
      </c>
      <c r="G6" s="4">
        <v>18</v>
      </c>
      <c r="H6" s="2" t="s">
        <v>38</v>
      </c>
      <c r="I6" s="2">
        <v>77</v>
      </c>
      <c r="J6" s="4">
        <f>Product[[#This Row],[Selling Price]]-Product[[#This Row],[Cost]]</f>
        <v>9</v>
      </c>
      <c r="K6" s="11">
        <f>Product[[#This Row],[Profit]]/Product[[#This Row],[Selling Price]]</f>
        <v>0.5</v>
      </c>
      <c r="L6" s="13">
        <f>Product[[#This Row],[Stock]]*Product[[#This Row],[Cost]]</f>
        <v>693</v>
      </c>
      <c r="M6" s="13">
        <f>Product[[#This Row],[Stock]]*Product[[#This Row],[Selling Price]]</f>
        <v>1386</v>
      </c>
      <c r="N6" s="13">
        <f>Product[[#This Row],[Stock]]*Product[[#This Row],[Profit]]</f>
        <v>693</v>
      </c>
    </row>
    <row r="7" spans="1:14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9">
        <v>5</v>
      </c>
      <c r="G7" s="4">
        <v>10</v>
      </c>
      <c r="H7" s="2" t="s">
        <v>19</v>
      </c>
      <c r="I7" s="2">
        <v>35</v>
      </c>
      <c r="J7" s="4">
        <f>Product[[#This Row],[Selling Price]]-Product[[#This Row],[Cost]]</f>
        <v>5</v>
      </c>
      <c r="K7" s="11">
        <f>Product[[#This Row],[Profit]]/Product[[#This Row],[Selling Price]]</f>
        <v>0.5</v>
      </c>
      <c r="L7" s="13">
        <f>Product[[#This Row],[Stock]]*Product[[#This Row],[Cost]]</f>
        <v>175</v>
      </c>
      <c r="M7" s="13">
        <f>Product[[#This Row],[Stock]]*Product[[#This Row],[Selling Price]]</f>
        <v>350</v>
      </c>
      <c r="N7" s="13">
        <f>Product[[#This Row],[Stock]]*Product[[#This Row],[Profit]]</f>
        <v>175</v>
      </c>
    </row>
    <row r="8" spans="1:14">
      <c r="A8" s="2" t="s">
        <v>44</v>
      </c>
      <c r="B8" s="2" t="s">
        <v>25</v>
      </c>
      <c r="C8" s="2" t="s">
        <v>45</v>
      </c>
      <c r="D8" s="2" t="s">
        <v>46</v>
      </c>
      <c r="E8" s="2" t="s">
        <v>32</v>
      </c>
      <c r="F8" s="9">
        <v>50</v>
      </c>
      <c r="G8" s="4">
        <v>99.95</v>
      </c>
      <c r="H8" s="2" t="s">
        <v>19</v>
      </c>
      <c r="I8" s="2">
        <v>33</v>
      </c>
      <c r="J8" s="4">
        <f>Product[[#This Row],[Selling Price]]-Product[[#This Row],[Cost]]</f>
        <v>49.95</v>
      </c>
      <c r="K8" s="11">
        <f>Product[[#This Row],[Profit]]/Product[[#This Row],[Selling Price]]</f>
        <v>0.49974987493746875</v>
      </c>
      <c r="L8" s="13">
        <f>Product[[#This Row],[Stock]]*Product[[#This Row],[Cost]]</f>
        <v>1650</v>
      </c>
      <c r="M8" s="13">
        <f>Product[[#This Row],[Stock]]*Product[[#This Row],[Selling Price]]</f>
        <v>3298.35</v>
      </c>
      <c r="N8" s="13">
        <f>Product[[#This Row],[Stock]]*Product[[#This Row],[Profit]]</f>
        <v>1648.3500000000001</v>
      </c>
    </row>
    <row r="9" spans="1:14">
      <c r="A9" s="2" t="s">
        <v>47</v>
      </c>
      <c r="B9" s="2" t="s">
        <v>34</v>
      </c>
      <c r="C9" s="2" t="s">
        <v>48</v>
      </c>
      <c r="D9" s="2" t="s">
        <v>49</v>
      </c>
      <c r="E9" s="2" t="s">
        <v>37</v>
      </c>
      <c r="F9" s="9">
        <v>10</v>
      </c>
      <c r="G9" s="4">
        <v>19.95</v>
      </c>
      <c r="H9" s="2" t="s">
        <v>19</v>
      </c>
      <c r="I9" s="2">
        <v>95</v>
      </c>
      <c r="J9" s="4">
        <f>Product[[#This Row],[Selling Price]]-Product[[#This Row],[Cost]]</f>
        <v>9.9499999999999993</v>
      </c>
      <c r="K9" s="11">
        <f>Product[[#This Row],[Profit]]/Product[[#This Row],[Selling Price]]</f>
        <v>0.49874686716791977</v>
      </c>
      <c r="L9" s="13">
        <f>Product[[#This Row],[Stock]]*Product[[#This Row],[Cost]]</f>
        <v>950</v>
      </c>
      <c r="M9" s="13">
        <f>Product[[#This Row],[Stock]]*Product[[#This Row],[Selling Price]]</f>
        <v>1895.25</v>
      </c>
      <c r="N9" s="13">
        <f>Product[[#This Row],[Stock]]*Product[[#This Row],[Profit]]</f>
        <v>945.24999999999989</v>
      </c>
    </row>
    <row r="10" spans="1:14">
      <c r="A10" s="2" t="s">
        <v>50</v>
      </c>
      <c r="B10" s="2" t="s">
        <v>40</v>
      </c>
      <c r="C10" s="2" t="s">
        <v>51</v>
      </c>
      <c r="D10" s="2" t="s">
        <v>52</v>
      </c>
      <c r="E10" s="2" t="s">
        <v>53</v>
      </c>
      <c r="F10" s="9">
        <v>2.5</v>
      </c>
      <c r="G10" s="4">
        <v>4.95</v>
      </c>
      <c r="H10" s="2" t="s">
        <v>19</v>
      </c>
      <c r="I10" s="2">
        <v>44</v>
      </c>
      <c r="J10" s="4">
        <f>Product[[#This Row],[Selling Price]]-Product[[#This Row],[Cost]]</f>
        <v>2.4500000000000002</v>
      </c>
      <c r="K10" s="11">
        <f>Product[[#This Row],[Profit]]/Product[[#This Row],[Selling Price]]</f>
        <v>0.49494949494949497</v>
      </c>
      <c r="L10" s="13">
        <f>Product[[#This Row],[Stock]]*Product[[#This Row],[Cost]]</f>
        <v>110</v>
      </c>
      <c r="M10" s="13">
        <f>Product[[#This Row],[Stock]]*Product[[#This Row],[Selling Price]]</f>
        <v>217.8</v>
      </c>
      <c r="N10" s="13">
        <f>Product[[#This Row],[Stock]]*Product[[#This Row],[Profit]]</f>
        <v>107.80000000000001</v>
      </c>
    </row>
    <row r="11" spans="1:14">
      <c r="A11" s="2" t="s">
        <v>54</v>
      </c>
      <c r="B11" s="2" t="s">
        <v>15</v>
      </c>
      <c r="C11" s="2" t="s">
        <v>55</v>
      </c>
      <c r="D11" s="2" t="s">
        <v>56</v>
      </c>
      <c r="E11" s="2" t="s">
        <v>57</v>
      </c>
      <c r="F11" s="9">
        <v>6.75</v>
      </c>
      <c r="G11" s="4">
        <v>12.95</v>
      </c>
      <c r="H11" s="2" t="s">
        <v>19</v>
      </c>
      <c r="I11" s="2">
        <v>50</v>
      </c>
      <c r="J11" s="4">
        <f>Product[[#This Row],[Selling Price]]-Product[[#This Row],[Cost]]</f>
        <v>6.1999999999999993</v>
      </c>
      <c r="K11" s="11">
        <f>Product[[#This Row],[Profit]]/Product[[#This Row],[Selling Price]]</f>
        <v>0.47876447876447875</v>
      </c>
      <c r="L11" s="13">
        <f>Product[[#This Row],[Stock]]*Product[[#This Row],[Cost]]</f>
        <v>337.5</v>
      </c>
      <c r="M11" s="13">
        <f>Product[[#This Row],[Stock]]*Product[[#This Row],[Selling Price]]</f>
        <v>647.5</v>
      </c>
      <c r="N11" s="13">
        <f>Product[[#This Row],[Stock]]*Product[[#This Row],[Profit]]</f>
        <v>309.99999999999994</v>
      </c>
    </row>
    <row r="12" spans="1:14">
      <c r="A12" s="2" t="s">
        <v>58</v>
      </c>
      <c r="B12" s="2" t="s">
        <v>40</v>
      </c>
      <c r="C12" s="2" t="s">
        <v>59</v>
      </c>
      <c r="D12" s="2" t="s">
        <v>60</v>
      </c>
      <c r="E12" s="2" t="s">
        <v>61</v>
      </c>
      <c r="F12" s="9">
        <v>4.5</v>
      </c>
      <c r="G12" s="4">
        <v>8.5</v>
      </c>
      <c r="H12" s="2" t="s">
        <v>38</v>
      </c>
      <c r="I12" s="2">
        <v>23</v>
      </c>
      <c r="J12" s="4">
        <f>Product[[#This Row],[Selling Price]]-Product[[#This Row],[Cost]]</f>
        <v>4</v>
      </c>
      <c r="K12" s="11">
        <f>Product[[#This Row],[Profit]]/Product[[#This Row],[Selling Price]]</f>
        <v>0.47058823529411764</v>
      </c>
      <c r="L12" s="13">
        <f>Product[[#This Row],[Stock]]*Product[[#This Row],[Cost]]</f>
        <v>103.5</v>
      </c>
      <c r="M12" s="13">
        <f>Product[[#This Row],[Stock]]*Product[[#This Row],[Selling Price]]</f>
        <v>195.5</v>
      </c>
      <c r="N12" s="13">
        <f>Product[[#This Row],[Stock]]*Product[[#This Row],[Profit]]</f>
        <v>92</v>
      </c>
    </row>
    <row r="13" spans="1:14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9">
        <v>11</v>
      </c>
      <c r="G13" s="4">
        <v>20.5</v>
      </c>
      <c r="H13" s="2" t="s">
        <v>19</v>
      </c>
      <c r="I13" s="2">
        <v>50</v>
      </c>
      <c r="J13" s="4">
        <f>Product[[#This Row],[Selling Price]]-Product[[#This Row],[Cost]]</f>
        <v>9.5</v>
      </c>
      <c r="K13" s="11">
        <f>Product[[#This Row],[Profit]]/Product[[#This Row],[Selling Price]]</f>
        <v>0.46341463414634149</v>
      </c>
      <c r="L13" s="13">
        <f>Product[[#This Row],[Stock]]*Product[[#This Row],[Cost]]</f>
        <v>550</v>
      </c>
      <c r="M13" s="13">
        <f>Product[[#This Row],[Stock]]*Product[[#This Row],[Selling Price]]</f>
        <v>1025</v>
      </c>
      <c r="N13" s="13">
        <f>Product[[#This Row],[Stock]]*Product[[#This Row],[Profit]]</f>
        <v>475</v>
      </c>
    </row>
    <row r="14" spans="1:14">
      <c r="A14" s="2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9">
        <v>10.7</v>
      </c>
      <c r="G14" s="4">
        <v>19.5</v>
      </c>
      <c r="H14" s="2" t="s">
        <v>19</v>
      </c>
      <c r="I14" s="2">
        <v>58</v>
      </c>
      <c r="J14" s="4">
        <f>Product[[#This Row],[Selling Price]]-Product[[#This Row],[Cost]]</f>
        <v>8.8000000000000007</v>
      </c>
      <c r="K14" s="11">
        <f>Product[[#This Row],[Profit]]/Product[[#This Row],[Selling Price]]</f>
        <v>0.45128205128205134</v>
      </c>
      <c r="L14" s="13">
        <f>Product[[#This Row],[Stock]]*Product[[#This Row],[Cost]]</f>
        <v>620.59999999999991</v>
      </c>
      <c r="M14" s="13">
        <f>Product[[#This Row],[Stock]]*Product[[#This Row],[Selling Price]]</f>
        <v>1131</v>
      </c>
      <c r="N14" s="13">
        <f>Product[[#This Row],[Stock]]*Product[[#This Row],[Profit]]</f>
        <v>510.40000000000003</v>
      </c>
    </row>
    <row r="15" spans="1:14">
      <c r="A15" s="2" t="s">
        <v>72</v>
      </c>
      <c r="B15" s="2" t="s">
        <v>40</v>
      </c>
      <c r="C15" s="2" t="s">
        <v>73</v>
      </c>
      <c r="D15" s="2" t="s">
        <v>74</v>
      </c>
      <c r="E15" s="2" t="s">
        <v>32</v>
      </c>
      <c r="F15" s="9">
        <v>5.5</v>
      </c>
      <c r="G15" s="4">
        <v>10</v>
      </c>
      <c r="H15" s="2" t="s">
        <v>19</v>
      </c>
      <c r="I15" s="2">
        <v>44</v>
      </c>
      <c r="J15" s="4">
        <f>Product[[#This Row],[Selling Price]]-Product[[#This Row],[Cost]]</f>
        <v>4.5</v>
      </c>
      <c r="K15" s="11">
        <f>Product[[#This Row],[Profit]]/Product[[#This Row],[Selling Price]]</f>
        <v>0.45</v>
      </c>
      <c r="L15" s="13">
        <f>Product[[#This Row],[Stock]]*Product[[#This Row],[Cost]]</f>
        <v>242</v>
      </c>
      <c r="M15" s="13">
        <f>Product[[#This Row],[Stock]]*Product[[#This Row],[Selling Price]]</f>
        <v>440</v>
      </c>
      <c r="N15" s="13">
        <f>Product[[#This Row],[Stock]]*Product[[#This Row],[Profit]]</f>
        <v>198</v>
      </c>
    </row>
    <row r="16" spans="1:14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9">
        <v>15</v>
      </c>
      <c r="G16" s="4">
        <v>26.488</v>
      </c>
      <c r="H16" s="2" t="s">
        <v>19</v>
      </c>
      <c r="I16" s="2">
        <v>44</v>
      </c>
      <c r="J16" s="4">
        <f>Product[[#This Row],[Selling Price]]-Product[[#This Row],[Cost]]</f>
        <v>11.488</v>
      </c>
      <c r="K16" s="11">
        <f>Product[[#This Row],[Profit]]/Product[[#This Row],[Selling Price]]</f>
        <v>0.43370582905466626</v>
      </c>
      <c r="L16" s="13">
        <f>Product[[#This Row],[Stock]]*Product[[#This Row],[Cost]]</f>
        <v>660</v>
      </c>
      <c r="M16" s="13">
        <f>Product[[#This Row],[Stock]]*Product[[#This Row],[Selling Price]]</f>
        <v>1165.472</v>
      </c>
      <c r="N16" s="13">
        <f>Product[[#This Row],[Stock]]*Product[[#This Row],[Profit]]</f>
        <v>505.47199999999998</v>
      </c>
    </row>
    <row r="17" spans="1:14">
      <c r="A17" s="2" t="s">
        <v>80</v>
      </c>
      <c r="B17" s="2" t="s">
        <v>15</v>
      </c>
      <c r="C17" s="2" t="s">
        <v>81</v>
      </c>
      <c r="D17" s="2" t="s">
        <v>82</v>
      </c>
      <c r="E17" s="2" t="s">
        <v>83</v>
      </c>
      <c r="F17" s="9">
        <v>80</v>
      </c>
      <c r="G17" s="4">
        <v>134.94999999999999</v>
      </c>
      <c r="H17" s="2" t="s">
        <v>38</v>
      </c>
      <c r="I17" s="2">
        <v>0</v>
      </c>
      <c r="J17" s="4">
        <f>Product[[#This Row],[Selling Price]]-Product[[#This Row],[Cost]]</f>
        <v>54.949999999999989</v>
      </c>
      <c r="K17" s="11">
        <f>Product[[#This Row],[Profit]]/Product[[#This Row],[Selling Price]]</f>
        <v>0.40718784735087066</v>
      </c>
      <c r="L17" s="13">
        <f>Product[[#This Row],[Stock]]*Product[[#This Row],[Cost]]</f>
        <v>0</v>
      </c>
      <c r="M17" s="13">
        <f>Product[[#This Row],[Stock]]*Product[[#This Row],[Selling Price]]</f>
        <v>0</v>
      </c>
      <c r="N17" s="13">
        <f>Product[[#This Row],[Stock]]*Product[[#This Row],[Profit]]</f>
        <v>0</v>
      </c>
    </row>
    <row r="18" spans="1:14">
      <c r="A18" s="2" t="s">
        <v>84</v>
      </c>
      <c r="B18" s="2" t="s">
        <v>25</v>
      </c>
      <c r="C18" s="2" t="s">
        <v>45</v>
      </c>
      <c r="D18" s="2" t="s">
        <v>85</v>
      </c>
      <c r="E18" s="2" t="s">
        <v>86</v>
      </c>
      <c r="F18" s="9">
        <v>9.5</v>
      </c>
      <c r="G18" s="4">
        <v>15.95</v>
      </c>
      <c r="H18" s="2" t="s">
        <v>19</v>
      </c>
      <c r="I18" s="2">
        <v>44</v>
      </c>
      <c r="J18" s="4">
        <f>Product[[#This Row],[Selling Price]]-Product[[#This Row],[Cost]]</f>
        <v>6.4499999999999993</v>
      </c>
      <c r="K18" s="11">
        <f>Product[[#This Row],[Profit]]/Product[[#This Row],[Selling Price]]</f>
        <v>0.40438871473354232</v>
      </c>
      <c r="L18" s="13">
        <f>Product[[#This Row],[Stock]]*Product[[#This Row],[Cost]]</f>
        <v>418</v>
      </c>
      <c r="M18" s="13">
        <f>Product[[#This Row],[Stock]]*Product[[#This Row],[Selling Price]]</f>
        <v>701.8</v>
      </c>
      <c r="N18" s="13">
        <f>Product[[#This Row],[Stock]]*Product[[#This Row],[Profit]]</f>
        <v>283.79999999999995</v>
      </c>
    </row>
    <row r="19" spans="1:14">
      <c r="A19" s="2" t="s">
        <v>87</v>
      </c>
      <c r="B19" s="2" t="s">
        <v>68</v>
      </c>
      <c r="C19" s="2" t="s">
        <v>69</v>
      </c>
      <c r="D19" s="2" t="s">
        <v>88</v>
      </c>
      <c r="E19" s="2" t="s">
        <v>89</v>
      </c>
      <c r="F19" s="9">
        <v>48</v>
      </c>
      <c r="G19" s="4">
        <v>79.974999999999994</v>
      </c>
      <c r="H19" s="2" t="s">
        <v>19</v>
      </c>
      <c r="I19" s="2">
        <v>36</v>
      </c>
      <c r="J19" s="4">
        <f>Product[[#This Row],[Selling Price]]-Product[[#This Row],[Cost]]</f>
        <v>31.974999999999994</v>
      </c>
      <c r="K19" s="11">
        <f>Product[[#This Row],[Profit]]/Product[[#This Row],[Selling Price]]</f>
        <v>0.3998124413879337</v>
      </c>
      <c r="L19" s="13">
        <f>Product[[#This Row],[Stock]]*Product[[#This Row],[Cost]]</f>
        <v>1728</v>
      </c>
      <c r="M19" s="13">
        <f>Product[[#This Row],[Stock]]*Product[[#This Row],[Selling Price]]</f>
        <v>2879.1</v>
      </c>
      <c r="N19" s="13">
        <f>Product[[#This Row],[Stock]]*Product[[#This Row],[Profit]]</f>
        <v>1151.0999999999999</v>
      </c>
    </row>
    <row r="20" spans="1:14">
      <c r="A20" s="2" t="s">
        <v>90</v>
      </c>
      <c r="B20" s="2" t="s">
        <v>25</v>
      </c>
      <c r="C20" s="2" t="s">
        <v>91</v>
      </c>
      <c r="D20" s="2" t="s">
        <v>92</v>
      </c>
      <c r="E20" s="2" t="s">
        <v>32</v>
      </c>
      <c r="F20" s="9">
        <v>9</v>
      </c>
      <c r="G20" s="4">
        <v>14.95</v>
      </c>
      <c r="H20" s="2" t="s">
        <v>19</v>
      </c>
      <c r="I20" s="2">
        <v>99</v>
      </c>
      <c r="J20" s="4">
        <f>Product[[#This Row],[Selling Price]]-Product[[#This Row],[Cost]]</f>
        <v>5.9499999999999993</v>
      </c>
      <c r="K20" s="11">
        <f>Product[[#This Row],[Profit]]/Product[[#This Row],[Selling Price]]</f>
        <v>0.39799331103678925</v>
      </c>
      <c r="L20" s="13">
        <f>Product[[#This Row],[Stock]]*Product[[#This Row],[Cost]]</f>
        <v>891</v>
      </c>
      <c r="M20" s="13">
        <f>Product[[#This Row],[Stock]]*Product[[#This Row],[Selling Price]]</f>
        <v>1480.05</v>
      </c>
      <c r="N20" s="13">
        <f>Product[[#This Row],[Stock]]*Product[[#This Row],[Profit]]</f>
        <v>589.04999999999995</v>
      </c>
    </row>
    <row r="21" spans="1:14">
      <c r="A21" s="2" t="s">
        <v>93</v>
      </c>
      <c r="B21" s="2" t="s">
        <v>34</v>
      </c>
      <c r="C21" s="2" t="s">
        <v>94</v>
      </c>
      <c r="D21" s="2" t="s">
        <v>95</v>
      </c>
      <c r="E21" s="2" t="s">
        <v>96</v>
      </c>
      <c r="F21" s="9">
        <v>10</v>
      </c>
      <c r="G21" s="4">
        <v>16.5</v>
      </c>
      <c r="H21" s="2" t="s">
        <v>19</v>
      </c>
      <c r="I21" s="2">
        <v>88</v>
      </c>
      <c r="J21" s="4">
        <f>Product[[#This Row],[Selling Price]]-Product[[#This Row],[Cost]]</f>
        <v>6.5</v>
      </c>
      <c r="K21" s="11">
        <f>Product[[#This Row],[Profit]]/Product[[#This Row],[Selling Price]]</f>
        <v>0.39393939393939392</v>
      </c>
      <c r="L21" s="13">
        <f>Product[[#This Row],[Stock]]*Product[[#This Row],[Cost]]</f>
        <v>880</v>
      </c>
      <c r="M21" s="13">
        <f>Product[[#This Row],[Stock]]*Product[[#This Row],[Selling Price]]</f>
        <v>1452</v>
      </c>
      <c r="N21" s="13">
        <f>Product[[#This Row],[Stock]]*Product[[#This Row],[Profit]]</f>
        <v>572</v>
      </c>
    </row>
    <row r="22" spans="1:14">
      <c r="A22" s="2" t="s">
        <v>97</v>
      </c>
      <c r="B22" s="2" t="s">
        <v>34</v>
      </c>
      <c r="C22" s="2" t="s">
        <v>98</v>
      </c>
      <c r="D22" s="2" t="s">
        <v>99</v>
      </c>
      <c r="E22" s="2" t="s">
        <v>100</v>
      </c>
      <c r="F22" s="9">
        <v>8</v>
      </c>
      <c r="G22" s="4">
        <v>13</v>
      </c>
      <c r="H22" s="2" t="s">
        <v>19</v>
      </c>
      <c r="I22" s="2">
        <v>6</v>
      </c>
      <c r="J22" s="4">
        <f>Product[[#This Row],[Selling Price]]-Product[[#This Row],[Cost]]</f>
        <v>5</v>
      </c>
      <c r="K22" s="11">
        <f>Product[[#This Row],[Profit]]/Product[[#This Row],[Selling Price]]</f>
        <v>0.38461538461538464</v>
      </c>
      <c r="L22" s="13">
        <f>Product[[#This Row],[Stock]]*Product[[#This Row],[Cost]]</f>
        <v>48</v>
      </c>
      <c r="M22" s="13">
        <f>Product[[#This Row],[Stock]]*Product[[#This Row],[Selling Price]]</f>
        <v>78</v>
      </c>
      <c r="N22" s="13">
        <f>Product[[#This Row],[Stock]]*Product[[#This Row],[Profit]]</f>
        <v>30</v>
      </c>
    </row>
    <row r="23" spans="1:14">
      <c r="A23" s="2" t="s">
        <v>101</v>
      </c>
      <c r="B23" s="2" t="s">
        <v>68</v>
      </c>
      <c r="C23" s="2" t="s">
        <v>69</v>
      </c>
      <c r="D23" s="2" t="s">
        <v>102</v>
      </c>
      <c r="E23" s="2" t="s">
        <v>89</v>
      </c>
      <c r="F23" s="9">
        <v>30</v>
      </c>
      <c r="G23" s="4">
        <v>48.475000000000001</v>
      </c>
      <c r="H23" s="2" t="s">
        <v>38</v>
      </c>
      <c r="I23" s="2">
        <v>34</v>
      </c>
      <c r="J23" s="4">
        <f>Product[[#This Row],[Selling Price]]-Product[[#This Row],[Cost]]</f>
        <v>18.475000000000001</v>
      </c>
      <c r="K23" s="11">
        <f>Product[[#This Row],[Profit]]/Product[[#This Row],[Selling Price]]</f>
        <v>0.38112429087158328</v>
      </c>
      <c r="L23" s="13">
        <f>Product[[#This Row],[Stock]]*Product[[#This Row],[Cost]]</f>
        <v>1020</v>
      </c>
      <c r="M23" s="13">
        <f>Product[[#This Row],[Stock]]*Product[[#This Row],[Selling Price]]</f>
        <v>1648.15</v>
      </c>
      <c r="N23" s="13">
        <f>Product[[#This Row],[Stock]]*Product[[#This Row],[Profit]]</f>
        <v>628.15000000000009</v>
      </c>
    </row>
    <row r="24" spans="1:14">
      <c r="A24" s="2" t="s">
        <v>103</v>
      </c>
      <c r="B24" s="2" t="s">
        <v>34</v>
      </c>
      <c r="C24" s="2" t="s">
        <v>98</v>
      </c>
      <c r="D24" s="2" t="s">
        <v>104</v>
      </c>
      <c r="E24" s="2" t="s">
        <v>105</v>
      </c>
      <c r="F24" s="9">
        <v>50</v>
      </c>
      <c r="G24" s="4">
        <v>79.95</v>
      </c>
      <c r="H24" s="2" t="s">
        <v>19</v>
      </c>
      <c r="I24" s="2">
        <v>17</v>
      </c>
      <c r="J24" s="4">
        <f>Product[[#This Row],[Selling Price]]-Product[[#This Row],[Cost]]</f>
        <v>29.950000000000003</v>
      </c>
      <c r="K24" s="11">
        <f>Product[[#This Row],[Profit]]/Product[[#This Row],[Selling Price]]</f>
        <v>0.37460913070669172</v>
      </c>
      <c r="L24" s="13">
        <f>Product[[#This Row],[Stock]]*Product[[#This Row],[Cost]]</f>
        <v>850</v>
      </c>
      <c r="M24" s="13">
        <f>Product[[#This Row],[Stock]]*Product[[#This Row],[Selling Price]]</f>
        <v>1359.15</v>
      </c>
      <c r="N24" s="13">
        <f>Product[[#This Row],[Stock]]*Product[[#This Row],[Profit]]</f>
        <v>509.15000000000003</v>
      </c>
    </row>
    <row r="25" spans="1:14">
      <c r="A25" s="2" t="s">
        <v>106</v>
      </c>
      <c r="B25" s="2" t="s">
        <v>15</v>
      </c>
      <c r="C25" s="2" t="s">
        <v>107</v>
      </c>
      <c r="D25" s="2" t="s">
        <v>108</v>
      </c>
      <c r="E25" s="2" t="s">
        <v>109</v>
      </c>
      <c r="F25" s="9">
        <v>15</v>
      </c>
      <c r="G25" s="4">
        <v>23.95</v>
      </c>
      <c r="H25" s="2" t="s">
        <v>19</v>
      </c>
      <c r="I25" s="2">
        <v>88</v>
      </c>
      <c r="J25" s="4">
        <f>Product[[#This Row],[Selling Price]]-Product[[#This Row],[Cost]]</f>
        <v>8.9499999999999993</v>
      </c>
      <c r="K25" s="11">
        <f>Product[[#This Row],[Profit]]/Product[[#This Row],[Selling Price]]</f>
        <v>0.37369519832985382</v>
      </c>
      <c r="L25" s="13">
        <f>Product[[#This Row],[Stock]]*Product[[#This Row],[Cost]]</f>
        <v>1320</v>
      </c>
      <c r="M25" s="13">
        <f>Product[[#This Row],[Stock]]*Product[[#This Row],[Selling Price]]</f>
        <v>2107.6</v>
      </c>
      <c r="N25" s="13">
        <f>Product[[#This Row],[Stock]]*Product[[#This Row],[Profit]]</f>
        <v>787.59999999999991</v>
      </c>
    </row>
    <row r="26" spans="1:14">
      <c r="A26" s="2" t="s">
        <v>110</v>
      </c>
      <c r="B26" s="2" t="s">
        <v>34</v>
      </c>
      <c r="C26" s="2" t="s">
        <v>111</v>
      </c>
      <c r="D26" s="2" t="s">
        <v>112</v>
      </c>
      <c r="E26" s="2" t="s">
        <v>113</v>
      </c>
      <c r="F26" s="9">
        <v>66</v>
      </c>
      <c r="G26" s="4">
        <v>104.45</v>
      </c>
      <c r="H26" s="2" t="s">
        <v>19</v>
      </c>
      <c r="I26" s="2">
        <v>0</v>
      </c>
      <c r="J26" s="4">
        <f>Product[[#This Row],[Selling Price]]-Product[[#This Row],[Cost]]</f>
        <v>38.450000000000003</v>
      </c>
      <c r="K26" s="11">
        <f>Product[[#This Row],[Profit]]/Product[[#This Row],[Selling Price]]</f>
        <v>0.36811871708951655</v>
      </c>
      <c r="L26" s="13">
        <f>Product[[#This Row],[Stock]]*Product[[#This Row],[Cost]]</f>
        <v>0</v>
      </c>
      <c r="M26" s="13">
        <f>Product[[#This Row],[Stock]]*Product[[#This Row],[Selling Price]]</f>
        <v>0</v>
      </c>
      <c r="N26" s="13">
        <f>Product[[#This Row],[Stock]]*Product[[#This Row],[Profit]]</f>
        <v>0</v>
      </c>
    </row>
    <row r="27" spans="1:14">
      <c r="A27" s="2" t="s">
        <v>114</v>
      </c>
      <c r="B27" s="2" t="s">
        <v>34</v>
      </c>
      <c r="C27" s="2" t="s">
        <v>115</v>
      </c>
      <c r="D27" s="2" t="s">
        <v>116</v>
      </c>
      <c r="E27" s="2" t="s">
        <v>117</v>
      </c>
      <c r="F27" s="9">
        <v>35</v>
      </c>
      <c r="G27" s="4">
        <v>54.95</v>
      </c>
      <c r="H27" s="2" t="s">
        <v>19</v>
      </c>
      <c r="I27" s="2">
        <v>39</v>
      </c>
      <c r="J27" s="4">
        <f>Product[[#This Row],[Selling Price]]-Product[[#This Row],[Cost]]</f>
        <v>19.950000000000003</v>
      </c>
      <c r="K27" s="11">
        <f>Product[[#This Row],[Profit]]/Product[[#This Row],[Selling Price]]</f>
        <v>0.36305732484076436</v>
      </c>
      <c r="L27" s="13">
        <f>Product[[#This Row],[Stock]]*Product[[#This Row],[Cost]]</f>
        <v>1365</v>
      </c>
      <c r="M27" s="13">
        <f>Product[[#This Row],[Stock]]*Product[[#This Row],[Selling Price]]</f>
        <v>2143.0500000000002</v>
      </c>
      <c r="N27" s="13">
        <f>Product[[#This Row],[Stock]]*Product[[#This Row],[Profit]]</f>
        <v>778.05000000000007</v>
      </c>
    </row>
    <row r="28" spans="1:14">
      <c r="A28" s="2" t="s">
        <v>118</v>
      </c>
      <c r="B28" s="2" t="s">
        <v>63</v>
      </c>
      <c r="C28" s="2" t="s">
        <v>119</v>
      </c>
      <c r="D28" s="2" t="s">
        <v>120</v>
      </c>
      <c r="E28" s="2" t="s">
        <v>66</v>
      </c>
      <c r="F28" s="9">
        <v>70</v>
      </c>
      <c r="G28" s="4">
        <v>107.5</v>
      </c>
      <c r="H28" s="2" t="s">
        <v>38</v>
      </c>
      <c r="I28" s="2">
        <v>22</v>
      </c>
      <c r="J28" s="4">
        <f>Product[[#This Row],[Selling Price]]-Product[[#This Row],[Cost]]</f>
        <v>37.5</v>
      </c>
      <c r="K28" s="11">
        <f>Product[[#This Row],[Profit]]/Product[[#This Row],[Selling Price]]</f>
        <v>0.34883720930232559</v>
      </c>
      <c r="L28" s="13">
        <f>Product[[#This Row],[Stock]]*Product[[#This Row],[Cost]]</f>
        <v>1540</v>
      </c>
      <c r="M28" s="13">
        <f>Product[[#This Row],[Stock]]*Product[[#This Row],[Selling Price]]</f>
        <v>2365</v>
      </c>
      <c r="N28" s="13">
        <f>Product[[#This Row],[Stock]]*Product[[#This Row],[Profit]]</f>
        <v>825</v>
      </c>
    </row>
    <row r="29" spans="1:14">
      <c r="A29" s="2" t="s">
        <v>121</v>
      </c>
      <c r="B29" s="2" t="s">
        <v>15</v>
      </c>
      <c r="C29" s="2" t="s">
        <v>21</v>
      </c>
      <c r="D29" s="2" t="s">
        <v>122</v>
      </c>
      <c r="E29" s="2" t="s">
        <v>123</v>
      </c>
      <c r="F29" s="9">
        <v>6.5</v>
      </c>
      <c r="G29" s="4">
        <v>9.9499999999999993</v>
      </c>
      <c r="H29" s="2" t="s">
        <v>19</v>
      </c>
      <c r="I29" s="2">
        <v>0</v>
      </c>
      <c r="J29" s="4">
        <f>Product[[#This Row],[Selling Price]]-Product[[#This Row],[Cost]]</f>
        <v>3.4499999999999993</v>
      </c>
      <c r="K29" s="11">
        <f>Product[[#This Row],[Profit]]/Product[[#This Row],[Selling Price]]</f>
        <v>0.34673366834170849</v>
      </c>
      <c r="L29" s="13">
        <f>Product[[#This Row],[Stock]]*Product[[#This Row],[Cost]]</f>
        <v>0</v>
      </c>
      <c r="M29" s="13">
        <f>Product[[#This Row],[Stock]]*Product[[#This Row],[Selling Price]]</f>
        <v>0</v>
      </c>
      <c r="N29" s="13">
        <f>Product[[#This Row],[Stock]]*Product[[#This Row],[Profit]]</f>
        <v>0</v>
      </c>
    </row>
    <row r="30" spans="1:14">
      <c r="A30" s="2" t="s">
        <v>124</v>
      </c>
      <c r="B30" s="2" t="s">
        <v>68</v>
      </c>
      <c r="C30" s="2" t="s">
        <v>125</v>
      </c>
      <c r="D30" s="2" t="s">
        <v>126</v>
      </c>
      <c r="E30" s="2" t="s">
        <v>127</v>
      </c>
      <c r="F30" s="9">
        <v>75</v>
      </c>
      <c r="G30" s="4">
        <v>113.95</v>
      </c>
      <c r="H30" s="2" t="s">
        <v>19</v>
      </c>
      <c r="I30" s="2">
        <v>27</v>
      </c>
      <c r="J30" s="4">
        <f>Product[[#This Row],[Selling Price]]-Product[[#This Row],[Cost]]</f>
        <v>38.950000000000003</v>
      </c>
      <c r="K30" s="11">
        <f>Product[[#This Row],[Profit]]/Product[[#This Row],[Selling Price]]</f>
        <v>0.34181658622202721</v>
      </c>
      <c r="L30" s="13">
        <f>Product[[#This Row],[Stock]]*Product[[#This Row],[Cost]]</f>
        <v>2025</v>
      </c>
      <c r="M30" s="13">
        <f>Product[[#This Row],[Stock]]*Product[[#This Row],[Selling Price]]</f>
        <v>3076.65</v>
      </c>
      <c r="N30" s="13">
        <f>Product[[#This Row],[Stock]]*Product[[#This Row],[Profit]]</f>
        <v>1051.6500000000001</v>
      </c>
    </row>
    <row r="31" spans="1:14">
      <c r="A31" s="2" t="s">
        <v>128</v>
      </c>
      <c r="B31" s="2" t="s">
        <v>25</v>
      </c>
      <c r="C31" s="2" t="s">
        <v>26</v>
      </c>
      <c r="D31" s="2" t="s">
        <v>129</v>
      </c>
      <c r="E31" s="2" t="s">
        <v>130</v>
      </c>
      <c r="F31" s="9">
        <v>40</v>
      </c>
      <c r="G31" s="4">
        <v>60.5</v>
      </c>
      <c r="H31" s="2" t="s">
        <v>19</v>
      </c>
      <c r="I31" s="2">
        <v>88</v>
      </c>
      <c r="J31" s="4">
        <f>Product[[#This Row],[Selling Price]]-Product[[#This Row],[Cost]]</f>
        <v>20.5</v>
      </c>
      <c r="K31" s="11">
        <f>Product[[#This Row],[Profit]]/Product[[#This Row],[Selling Price]]</f>
        <v>0.33884297520661155</v>
      </c>
      <c r="L31" s="13">
        <f>Product[[#This Row],[Stock]]*Product[[#This Row],[Cost]]</f>
        <v>3520</v>
      </c>
      <c r="M31" s="13">
        <f>Product[[#This Row],[Stock]]*Product[[#This Row],[Selling Price]]</f>
        <v>5324</v>
      </c>
      <c r="N31" s="13">
        <f>Product[[#This Row],[Stock]]*Product[[#This Row],[Profit]]</f>
        <v>1804</v>
      </c>
    </row>
    <row r="32" spans="1:14">
      <c r="A32" s="2" t="s">
        <v>131</v>
      </c>
      <c r="B32" s="2" t="s">
        <v>25</v>
      </c>
      <c r="C32" s="2" t="s">
        <v>77</v>
      </c>
      <c r="D32" s="2" t="s">
        <v>132</v>
      </c>
      <c r="E32" s="2" t="s">
        <v>32</v>
      </c>
      <c r="F32" s="9">
        <v>33</v>
      </c>
      <c r="G32" s="4">
        <v>49.5</v>
      </c>
      <c r="H32" s="2" t="s">
        <v>38</v>
      </c>
      <c r="I32" s="2">
        <v>100</v>
      </c>
      <c r="J32" s="4">
        <f>Product[[#This Row],[Selling Price]]-Product[[#This Row],[Cost]]</f>
        <v>16.5</v>
      </c>
      <c r="K32" s="11">
        <f>Product[[#This Row],[Profit]]/Product[[#This Row],[Selling Price]]</f>
        <v>0.33333333333333331</v>
      </c>
      <c r="L32" s="13">
        <f>Product[[#This Row],[Stock]]*Product[[#This Row],[Cost]]</f>
        <v>3300</v>
      </c>
      <c r="M32" s="13">
        <f>Product[[#This Row],[Stock]]*Product[[#This Row],[Selling Price]]</f>
        <v>4950</v>
      </c>
      <c r="N32" s="13">
        <f>Product[[#This Row],[Stock]]*Product[[#This Row],[Profit]]</f>
        <v>1650</v>
      </c>
    </row>
    <row r="33" spans="1:14">
      <c r="A33" s="2" t="s">
        <v>133</v>
      </c>
      <c r="B33" s="2" t="s">
        <v>40</v>
      </c>
      <c r="C33" s="2" t="s">
        <v>134</v>
      </c>
      <c r="D33" s="2" t="s">
        <v>135</v>
      </c>
      <c r="E33" s="2" t="s">
        <v>136</v>
      </c>
      <c r="F33" s="9">
        <v>5</v>
      </c>
      <c r="G33" s="4">
        <v>7.5</v>
      </c>
      <c r="H33" s="2" t="s">
        <v>38</v>
      </c>
      <c r="I33" s="2">
        <v>70</v>
      </c>
      <c r="J33" s="4">
        <f>Product[[#This Row],[Selling Price]]-Product[[#This Row],[Cost]]</f>
        <v>2.5</v>
      </c>
      <c r="K33" s="11">
        <f>Product[[#This Row],[Profit]]/Product[[#This Row],[Selling Price]]</f>
        <v>0.33333333333333331</v>
      </c>
      <c r="L33" s="13">
        <f>Product[[#This Row],[Stock]]*Product[[#This Row],[Cost]]</f>
        <v>350</v>
      </c>
      <c r="M33" s="13">
        <f>Product[[#This Row],[Stock]]*Product[[#This Row],[Selling Price]]</f>
        <v>525</v>
      </c>
      <c r="N33" s="13">
        <f>Product[[#This Row],[Stock]]*Product[[#This Row],[Profit]]</f>
        <v>175</v>
      </c>
    </row>
    <row r="34" spans="1:14">
      <c r="A34" s="2" t="s">
        <v>137</v>
      </c>
      <c r="B34" s="2" t="s">
        <v>40</v>
      </c>
      <c r="C34" s="2" t="s">
        <v>134</v>
      </c>
      <c r="D34" s="2" t="s">
        <v>138</v>
      </c>
      <c r="E34" s="2" t="s">
        <v>136</v>
      </c>
      <c r="F34" s="9">
        <v>5</v>
      </c>
      <c r="G34" s="4">
        <v>7.5</v>
      </c>
      <c r="H34" s="2" t="s">
        <v>38</v>
      </c>
      <c r="I34" s="2">
        <v>66</v>
      </c>
      <c r="J34" s="4">
        <f>Product[[#This Row],[Selling Price]]-Product[[#This Row],[Cost]]</f>
        <v>2.5</v>
      </c>
      <c r="K34" s="11">
        <f>Product[[#This Row],[Profit]]/Product[[#This Row],[Selling Price]]</f>
        <v>0.33333333333333331</v>
      </c>
      <c r="L34" s="13">
        <f>Product[[#This Row],[Stock]]*Product[[#This Row],[Cost]]</f>
        <v>330</v>
      </c>
      <c r="M34" s="13">
        <f>Product[[#This Row],[Stock]]*Product[[#This Row],[Selling Price]]</f>
        <v>495</v>
      </c>
      <c r="N34" s="13">
        <f>Product[[#This Row],[Stock]]*Product[[#This Row],[Profit]]</f>
        <v>165</v>
      </c>
    </row>
    <row r="35" spans="1:14">
      <c r="A35" s="2" t="s">
        <v>139</v>
      </c>
      <c r="B35" s="2" t="s">
        <v>40</v>
      </c>
      <c r="C35" s="2" t="s">
        <v>140</v>
      </c>
      <c r="D35" s="2" t="s">
        <v>141</v>
      </c>
      <c r="E35" s="2" t="s">
        <v>142</v>
      </c>
      <c r="F35" s="9">
        <v>6</v>
      </c>
      <c r="G35" s="4">
        <v>9</v>
      </c>
      <c r="H35" s="2" t="s">
        <v>38</v>
      </c>
      <c r="I35" s="2">
        <v>33</v>
      </c>
      <c r="J35" s="4">
        <f>Product[[#This Row],[Selling Price]]-Product[[#This Row],[Cost]]</f>
        <v>3</v>
      </c>
      <c r="K35" s="11">
        <f>Product[[#This Row],[Profit]]/Product[[#This Row],[Selling Price]]</f>
        <v>0.33333333333333331</v>
      </c>
      <c r="L35" s="13">
        <f>Product[[#This Row],[Stock]]*Product[[#This Row],[Cost]]</f>
        <v>198</v>
      </c>
      <c r="M35" s="13">
        <f>Product[[#This Row],[Stock]]*Product[[#This Row],[Selling Price]]</f>
        <v>297</v>
      </c>
      <c r="N35" s="13">
        <f>Product[[#This Row],[Stock]]*Product[[#This Row],[Profit]]</f>
        <v>99</v>
      </c>
    </row>
    <row r="36" spans="1:14">
      <c r="A36" s="2" t="s">
        <v>143</v>
      </c>
      <c r="B36" s="2" t="s">
        <v>63</v>
      </c>
      <c r="C36" s="2" t="s">
        <v>144</v>
      </c>
      <c r="D36" s="2" t="s">
        <v>145</v>
      </c>
      <c r="E36" s="2" t="s">
        <v>146</v>
      </c>
      <c r="F36" s="9">
        <v>100</v>
      </c>
      <c r="G36" s="4">
        <v>149.94999999999999</v>
      </c>
      <c r="H36" s="2" t="s">
        <v>19</v>
      </c>
      <c r="I36" s="2">
        <v>66</v>
      </c>
      <c r="J36" s="4">
        <f>Product[[#This Row],[Selling Price]]-Product[[#This Row],[Cost]]</f>
        <v>49.949999999999989</v>
      </c>
      <c r="K36" s="11">
        <f>Product[[#This Row],[Profit]]/Product[[#This Row],[Selling Price]]</f>
        <v>0.33311103701233741</v>
      </c>
      <c r="L36" s="13">
        <f>Product[[#This Row],[Stock]]*Product[[#This Row],[Cost]]</f>
        <v>6600</v>
      </c>
      <c r="M36" s="13">
        <f>Product[[#This Row],[Stock]]*Product[[#This Row],[Selling Price]]</f>
        <v>9896.6999999999989</v>
      </c>
      <c r="N36" s="13">
        <f>Product[[#This Row],[Stock]]*Product[[#This Row],[Profit]]</f>
        <v>3296.6999999999994</v>
      </c>
    </row>
    <row r="37" spans="1:14">
      <c r="A37" s="2" t="s">
        <v>147</v>
      </c>
      <c r="B37" s="2" t="s">
        <v>68</v>
      </c>
      <c r="C37" s="2" t="s">
        <v>69</v>
      </c>
      <c r="D37" s="2" t="s">
        <v>148</v>
      </c>
      <c r="E37" s="2" t="s">
        <v>89</v>
      </c>
      <c r="F37" s="9">
        <v>20</v>
      </c>
      <c r="G37" s="4">
        <v>29.975000000000001</v>
      </c>
      <c r="H37" s="2" t="s">
        <v>38</v>
      </c>
      <c r="I37" s="2">
        <v>80</v>
      </c>
      <c r="J37" s="4">
        <f>Product[[#This Row],[Selling Price]]-Product[[#This Row],[Cost]]</f>
        <v>9.9750000000000014</v>
      </c>
      <c r="K37" s="11">
        <f>Product[[#This Row],[Profit]]/Product[[#This Row],[Selling Price]]</f>
        <v>0.33277731442869063</v>
      </c>
      <c r="L37" s="13">
        <f>Product[[#This Row],[Stock]]*Product[[#This Row],[Cost]]</f>
        <v>1600</v>
      </c>
      <c r="M37" s="13">
        <f>Product[[#This Row],[Stock]]*Product[[#This Row],[Selling Price]]</f>
        <v>2398</v>
      </c>
      <c r="N37" s="13">
        <f>Product[[#This Row],[Stock]]*Product[[#This Row],[Profit]]</f>
        <v>798.00000000000011</v>
      </c>
    </row>
    <row r="38" spans="1:14">
      <c r="A38" s="2" t="s">
        <v>149</v>
      </c>
      <c r="B38" s="2" t="s">
        <v>68</v>
      </c>
      <c r="C38" s="2" t="s">
        <v>69</v>
      </c>
      <c r="D38" s="2" t="s">
        <v>150</v>
      </c>
      <c r="E38" s="2" t="s">
        <v>71</v>
      </c>
      <c r="F38" s="9">
        <v>10</v>
      </c>
      <c r="G38" s="4">
        <v>14.95</v>
      </c>
      <c r="H38" s="2" t="s">
        <v>19</v>
      </c>
      <c r="I38" s="2">
        <v>76</v>
      </c>
      <c r="J38" s="4">
        <f>Product[[#This Row],[Selling Price]]-Product[[#This Row],[Cost]]</f>
        <v>4.9499999999999993</v>
      </c>
      <c r="K38" s="11">
        <f>Product[[#This Row],[Profit]]/Product[[#This Row],[Selling Price]]</f>
        <v>0.33110367892976583</v>
      </c>
      <c r="L38" s="13">
        <f>Product[[#This Row],[Stock]]*Product[[#This Row],[Cost]]</f>
        <v>760</v>
      </c>
      <c r="M38" s="13">
        <f>Product[[#This Row],[Stock]]*Product[[#This Row],[Selling Price]]</f>
        <v>1136.2</v>
      </c>
      <c r="N38" s="13">
        <f>Product[[#This Row],[Stock]]*Product[[#This Row],[Profit]]</f>
        <v>376.19999999999993</v>
      </c>
    </row>
    <row r="39" spans="1:14">
      <c r="A39" s="2" t="s">
        <v>151</v>
      </c>
      <c r="B39" s="2" t="s">
        <v>40</v>
      </c>
      <c r="C39" s="2" t="s">
        <v>152</v>
      </c>
      <c r="D39" s="2" t="s">
        <v>153</v>
      </c>
      <c r="E39" s="2" t="s">
        <v>154</v>
      </c>
      <c r="F39" s="9">
        <v>99</v>
      </c>
      <c r="G39" s="4">
        <v>146.5</v>
      </c>
      <c r="H39" s="2" t="s">
        <v>19</v>
      </c>
      <c r="I39" s="2">
        <v>34</v>
      </c>
      <c r="J39" s="4">
        <f>Product[[#This Row],[Selling Price]]-Product[[#This Row],[Cost]]</f>
        <v>47.5</v>
      </c>
      <c r="K39" s="11">
        <f>Product[[#This Row],[Profit]]/Product[[#This Row],[Selling Price]]</f>
        <v>0.32423208191126279</v>
      </c>
      <c r="L39" s="13">
        <f>Product[[#This Row],[Stock]]*Product[[#This Row],[Cost]]</f>
        <v>3366</v>
      </c>
      <c r="M39" s="13">
        <f>Product[[#This Row],[Stock]]*Product[[#This Row],[Selling Price]]</f>
        <v>4981</v>
      </c>
      <c r="N39" s="13">
        <f>Product[[#This Row],[Stock]]*Product[[#This Row],[Profit]]</f>
        <v>1615</v>
      </c>
    </row>
    <row r="40" spans="1:14">
      <c r="A40" s="2" t="s">
        <v>155</v>
      </c>
      <c r="B40" s="2" t="s">
        <v>68</v>
      </c>
      <c r="C40" s="2" t="s">
        <v>69</v>
      </c>
      <c r="D40" s="2" t="s">
        <v>156</v>
      </c>
      <c r="E40" s="2" t="s">
        <v>89</v>
      </c>
      <c r="F40" s="9">
        <v>22</v>
      </c>
      <c r="G40" s="4">
        <v>32.475000000000001</v>
      </c>
      <c r="H40" s="2" t="s">
        <v>19</v>
      </c>
      <c r="I40" s="2">
        <v>70</v>
      </c>
      <c r="J40" s="4">
        <f>Product[[#This Row],[Selling Price]]-Product[[#This Row],[Cost]]</f>
        <v>10.475000000000001</v>
      </c>
      <c r="K40" s="11">
        <f>Product[[#This Row],[Profit]]/Product[[#This Row],[Selling Price]]</f>
        <v>0.3225558121632025</v>
      </c>
      <c r="L40" s="13">
        <f>Product[[#This Row],[Stock]]*Product[[#This Row],[Cost]]</f>
        <v>1540</v>
      </c>
      <c r="M40" s="13">
        <f>Product[[#This Row],[Stock]]*Product[[#This Row],[Selling Price]]</f>
        <v>2273.25</v>
      </c>
      <c r="N40" s="13">
        <f>Product[[#This Row],[Stock]]*Product[[#This Row],[Profit]]</f>
        <v>733.25000000000011</v>
      </c>
    </row>
    <row r="41" spans="1:14">
      <c r="A41" s="2" t="s">
        <v>157</v>
      </c>
      <c r="B41" s="2" t="s">
        <v>25</v>
      </c>
      <c r="C41" s="2" t="s">
        <v>26</v>
      </c>
      <c r="D41" s="2" t="s">
        <v>158</v>
      </c>
      <c r="E41" s="2" t="s">
        <v>159</v>
      </c>
      <c r="F41" s="9">
        <v>200</v>
      </c>
      <c r="G41" s="4">
        <v>290</v>
      </c>
      <c r="H41" s="2" t="s">
        <v>19</v>
      </c>
      <c r="I41" s="2">
        <v>49</v>
      </c>
      <c r="J41" s="4">
        <f>Product[[#This Row],[Selling Price]]-Product[[#This Row],[Cost]]</f>
        <v>90</v>
      </c>
      <c r="K41" s="11">
        <f>Product[[#This Row],[Profit]]/Product[[#This Row],[Selling Price]]</f>
        <v>0.31034482758620691</v>
      </c>
      <c r="L41" s="13">
        <f>Product[[#This Row],[Stock]]*Product[[#This Row],[Cost]]</f>
        <v>9800</v>
      </c>
      <c r="M41" s="13">
        <f>Product[[#This Row],[Stock]]*Product[[#This Row],[Selling Price]]</f>
        <v>14210</v>
      </c>
      <c r="N41" s="13">
        <f>Product[[#This Row],[Stock]]*Product[[#This Row],[Profit]]</f>
        <v>4410</v>
      </c>
    </row>
    <row r="42" spans="1:14">
      <c r="A42" s="2" t="s">
        <v>160</v>
      </c>
      <c r="B42" s="2" t="s">
        <v>63</v>
      </c>
      <c r="C42" s="2" t="s">
        <v>161</v>
      </c>
      <c r="D42" s="2" t="s">
        <v>162</v>
      </c>
      <c r="E42" s="2" t="s">
        <v>163</v>
      </c>
      <c r="F42" s="9">
        <v>180</v>
      </c>
      <c r="G42" s="4">
        <v>260</v>
      </c>
      <c r="H42" s="2" t="s">
        <v>38</v>
      </c>
      <c r="I42" s="2">
        <v>48</v>
      </c>
      <c r="J42" s="4">
        <f>Product[[#This Row],[Selling Price]]-Product[[#This Row],[Cost]]</f>
        <v>80</v>
      </c>
      <c r="K42" s="11">
        <f>Product[[#This Row],[Profit]]/Product[[#This Row],[Selling Price]]</f>
        <v>0.30769230769230771</v>
      </c>
      <c r="L42" s="13">
        <f>Product[[#This Row],[Stock]]*Product[[#This Row],[Cost]]</f>
        <v>8640</v>
      </c>
      <c r="M42" s="13">
        <f>Product[[#This Row],[Stock]]*Product[[#This Row],[Selling Price]]</f>
        <v>12480</v>
      </c>
      <c r="N42" s="13">
        <f>Product[[#This Row],[Stock]]*Product[[#This Row],[Profit]]</f>
        <v>3840</v>
      </c>
    </row>
    <row r="43" spans="1:14">
      <c r="A43" s="2" t="s">
        <v>164</v>
      </c>
      <c r="B43" s="2" t="s">
        <v>63</v>
      </c>
      <c r="C43" s="2" t="s">
        <v>165</v>
      </c>
      <c r="D43" s="2" t="s">
        <v>166</v>
      </c>
      <c r="E43" s="2" t="s">
        <v>167</v>
      </c>
      <c r="F43" s="9">
        <v>52</v>
      </c>
      <c r="G43" s="4">
        <v>74.5</v>
      </c>
      <c r="H43" s="2" t="s">
        <v>38</v>
      </c>
      <c r="I43" s="2">
        <v>42</v>
      </c>
      <c r="J43" s="4">
        <f>Product[[#This Row],[Selling Price]]-Product[[#This Row],[Cost]]</f>
        <v>22.5</v>
      </c>
      <c r="K43" s="11">
        <f>Product[[#This Row],[Profit]]/Product[[#This Row],[Selling Price]]</f>
        <v>0.30201342281879195</v>
      </c>
      <c r="L43" s="13">
        <f>Product[[#This Row],[Stock]]*Product[[#This Row],[Cost]]</f>
        <v>2184</v>
      </c>
      <c r="M43" s="13">
        <f>Product[[#This Row],[Stock]]*Product[[#This Row],[Selling Price]]</f>
        <v>3129</v>
      </c>
      <c r="N43" s="13">
        <f>Product[[#This Row],[Stock]]*Product[[#This Row],[Profit]]</f>
        <v>945</v>
      </c>
    </row>
    <row r="44" spans="1:14">
      <c r="A44" s="2" t="s">
        <v>168</v>
      </c>
      <c r="B44" s="2" t="s">
        <v>34</v>
      </c>
      <c r="C44" s="2" t="s">
        <v>169</v>
      </c>
      <c r="D44" s="2" t="s">
        <v>170</v>
      </c>
      <c r="E44" s="2" t="s">
        <v>171</v>
      </c>
      <c r="F44" s="9">
        <v>21</v>
      </c>
      <c r="G44" s="4">
        <v>29.75</v>
      </c>
      <c r="H44" s="2" t="s">
        <v>19</v>
      </c>
      <c r="I44" s="2">
        <v>33</v>
      </c>
      <c r="J44" s="4">
        <f>Product[[#This Row],[Selling Price]]-Product[[#This Row],[Cost]]</f>
        <v>8.75</v>
      </c>
      <c r="K44" s="11">
        <f>Product[[#This Row],[Profit]]/Product[[#This Row],[Selling Price]]</f>
        <v>0.29411764705882354</v>
      </c>
      <c r="L44" s="13">
        <f>Product[[#This Row],[Stock]]*Product[[#This Row],[Cost]]</f>
        <v>693</v>
      </c>
      <c r="M44" s="13">
        <f>Product[[#This Row],[Stock]]*Product[[#This Row],[Selling Price]]</f>
        <v>981.75</v>
      </c>
      <c r="N44" s="13">
        <f>Product[[#This Row],[Stock]]*Product[[#This Row],[Profit]]</f>
        <v>288.75</v>
      </c>
    </row>
    <row r="45" spans="1:14">
      <c r="A45" s="2" t="s">
        <v>172</v>
      </c>
      <c r="B45" s="2" t="s">
        <v>34</v>
      </c>
      <c r="C45" s="2" t="s">
        <v>173</v>
      </c>
      <c r="D45" s="2" t="s">
        <v>174</v>
      </c>
      <c r="E45" s="2" t="s">
        <v>175</v>
      </c>
      <c r="F45" s="9">
        <v>44</v>
      </c>
      <c r="G45" s="4">
        <v>61.75</v>
      </c>
      <c r="H45" s="2" t="s">
        <v>38</v>
      </c>
      <c r="I45" s="2">
        <v>45</v>
      </c>
      <c r="J45" s="4">
        <f>Product[[#This Row],[Selling Price]]-Product[[#This Row],[Cost]]</f>
        <v>17.75</v>
      </c>
      <c r="K45" s="11">
        <f>Product[[#This Row],[Profit]]/Product[[#This Row],[Selling Price]]</f>
        <v>0.2874493927125506</v>
      </c>
      <c r="L45" s="13">
        <f>Product[[#This Row],[Stock]]*Product[[#This Row],[Cost]]</f>
        <v>1980</v>
      </c>
      <c r="M45" s="13">
        <f>Product[[#This Row],[Stock]]*Product[[#This Row],[Selling Price]]</f>
        <v>2778.75</v>
      </c>
      <c r="N45" s="13">
        <f>Product[[#This Row],[Stock]]*Product[[#This Row],[Profit]]</f>
        <v>798.75</v>
      </c>
    </row>
    <row r="46" spans="1:14">
      <c r="A46" s="2" t="s">
        <v>176</v>
      </c>
      <c r="B46" s="2" t="s">
        <v>68</v>
      </c>
      <c r="C46" s="2" t="s">
        <v>69</v>
      </c>
      <c r="D46" s="2" t="s">
        <v>177</v>
      </c>
      <c r="E46" s="2" t="s">
        <v>89</v>
      </c>
      <c r="F46" s="9">
        <v>50</v>
      </c>
      <c r="G46" s="4">
        <v>69.974999999999994</v>
      </c>
      <c r="H46" s="2" t="s">
        <v>19</v>
      </c>
      <c r="I46" s="2">
        <v>28</v>
      </c>
      <c r="J46" s="4">
        <f>Product[[#This Row],[Selling Price]]-Product[[#This Row],[Cost]]</f>
        <v>19.974999999999994</v>
      </c>
      <c r="K46" s="11">
        <f>Product[[#This Row],[Profit]]/Product[[#This Row],[Selling Price]]</f>
        <v>0.28545909253304746</v>
      </c>
      <c r="L46" s="13">
        <f>Product[[#This Row],[Stock]]*Product[[#This Row],[Cost]]</f>
        <v>1400</v>
      </c>
      <c r="M46" s="13">
        <f>Product[[#This Row],[Stock]]*Product[[#This Row],[Selling Price]]</f>
        <v>1959.2999999999997</v>
      </c>
      <c r="N46" s="13">
        <f>Product[[#This Row],[Stock]]*Product[[#This Row],[Profit]]</f>
        <v>559.29999999999984</v>
      </c>
    </row>
    <row r="47" spans="1:14">
      <c r="A47" s="2" t="s">
        <v>178</v>
      </c>
      <c r="B47" s="2" t="s">
        <v>15</v>
      </c>
      <c r="C47" s="2" t="s">
        <v>179</v>
      </c>
      <c r="D47" s="2" t="s">
        <v>180</v>
      </c>
      <c r="E47" s="2" t="s">
        <v>181</v>
      </c>
      <c r="F47" s="9">
        <v>55</v>
      </c>
      <c r="G47" s="4">
        <v>76.95</v>
      </c>
      <c r="H47" s="2" t="s">
        <v>19</v>
      </c>
      <c r="I47" s="2">
        <v>33</v>
      </c>
      <c r="J47" s="4">
        <f>Product[[#This Row],[Selling Price]]-Product[[#This Row],[Cost]]</f>
        <v>21.950000000000003</v>
      </c>
      <c r="K47" s="11">
        <f>Product[[#This Row],[Profit]]/Product[[#This Row],[Selling Price]]</f>
        <v>0.28525016244314494</v>
      </c>
      <c r="L47" s="13">
        <f>Product[[#This Row],[Stock]]*Product[[#This Row],[Cost]]</f>
        <v>1815</v>
      </c>
      <c r="M47" s="13">
        <f>Product[[#This Row],[Stock]]*Product[[#This Row],[Selling Price]]</f>
        <v>2539.35</v>
      </c>
      <c r="N47" s="13">
        <f>Product[[#This Row],[Stock]]*Product[[#This Row],[Profit]]</f>
        <v>724.35000000000014</v>
      </c>
    </row>
    <row r="48" spans="1:14">
      <c r="A48" s="2" t="s">
        <v>182</v>
      </c>
      <c r="B48" s="2" t="s">
        <v>15</v>
      </c>
      <c r="C48" s="2" t="s">
        <v>107</v>
      </c>
      <c r="D48" s="2" t="s">
        <v>183</v>
      </c>
      <c r="E48" s="2" t="s">
        <v>184</v>
      </c>
      <c r="F48" s="9">
        <v>20</v>
      </c>
      <c r="G48" s="4">
        <v>27.95</v>
      </c>
      <c r="H48" s="2" t="s">
        <v>38</v>
      </c>
      <c r="I48" s="2">
        <v>69</v>
      </c>
      <c r="J48" s="4">
        <f>Product[[#This Row],[Selling Price]]-Product[[#This Row],[Cost]]</f>
        <v>7.9499999999999993</v>
      </c>
      <c r="K48" s="11">
        <f>Product[[#This Row],[Profit]]/Product[[#This Row],[Selling Price]]</f>
        <v>0.2844364937388193</v>
      </c>
      <c r="L48" s="13">
        <f>Product[[#This Row],[Stock]]*Product[[#This Row],[Cost]]</f>
        <v>1380</v>
      </c>
      <c r="M48" s="13">
        <f>Product[[#This Row],[Stock]]*Product[[#This Row],[Selling Price]]</f>
        <v>1928.55</v>
      </c>
      <c r="N48" s="13">
        <f>Product[[#This Row],[Stock]]*Product[[#This Row],[Profit]]</f>
        <v>548.54999999999995</v>
      </c>
    </row>
    <row r="49" spans="1:14">
      <c r="A49" s="2" t="s">
        <v>185</v>
      </c>
      <c r="B49" s="2" t="s">
        <v>76</v>
      </c>
      <c r="C49" s="2" t="s">
        <v>77</v>
      </c>
      <c r="D49" s="2" t="s">
        <v>186</v>
      </c>
      <c r="E49" s="2" t="s">
        <v>79</v>
      </c>
      <c r="F49" s="9">
        <v>170</v>
      </c>
      <c r="G49" s="4">
        <v>237.488</v>
      </c>
      <c r="H49" s="2" t="s">
        <v>19</v>
      </c>
      <c r="I49" s="2">
        <v>55</v>
      </c>
      <c r="J49" s="4">
        <f>Product[[#This Row],[Selling Price]]-Product[[#This Row],[Cost]]</f>
        <v>67.488</v>
      </c>
      <c r="K49" s="11">
        <f>Product[[#This Row],[Profit]]/Product[[#This Row],[Selling Price]]</f>
        <v>0.2841743582833659</v>
      </c>
      <c r="L49" s="13">
        <f>Product[[#This Row],[Stock]]*Product[[#This Row],[Cost]]</f>
        <v>9350</v>
      </c>
      <c r="M49" s="13">
        <f>Product[[#This Row],[Stock]]*Product[[#This Row],[Selling Price]]</f>
        <v>13061.84</v>
      </c>
      <c r="N49" s="13">
        <f>Product[[#This Row],[Stock]]*Product[[#This Row],[Profit]]</f>
        <v>3711.84</v>
      </c>
    </row>
    <row r="50" spans="1:14">
      <c r="A50" s="2" t="s">
        <v>187</v>
      </c>
      <c r="B50" s="2" t="s">
        <v>34</v>
      </c>
      <c r="C50" s="2" t="s">
        <v>188</v>
      </c>
      <c r="D50" s="2" t="s">
        <v>189</v>
      </c>
      <c r="E50" s="2" t="s">
        <v>37</v>
      </c>
      <c r="F50" s="9">
        <v>10</v>
      </c>
      <c r="G50" s="4">
        <v>13.95</v>
      </c>
      <c r="H50" s="2" t="s">
        <v>38</v>
      </c>
      <c r="I50" s="2">
        <v>60</v>
      </c>
      <c r="J50" s="4">
        <f>Product[[#This Row],[Selling Price]]-Product[[#This Row],[Cost]]</f>
        <v>3.9499999999999993</v>
      </c>
      <c r="K50" s="11">
        <f>Product[[#This Row],[Profit]]/Product[[#This Row],[Selling Price]]</f>
        <v>0.28315412186379924</v>
      </c>
      <c r="L50" s="13">
        <f>Product[[#This Row],[Stock]]*Product[[#This Row],[Cost]]</f>
        <v>600</v>
      </c>
      <c r="M50" s="13">
        <f>Product[[#This Row],[Stock]]*Product[[#This Row],[Selling Price]]</f>
        <v>837</v>
      </c>
      <c r="N50" s="13">
        <f>Product[[#This Row],[Stock]]*Product[[#This Row],[Profit]]</f>
        <v>236.99999999999994</v>
      </c>
    </row>
    <row r="51" spans="1:14">
      <c r="A51" s="2" t="s">
        <v>190</v>
      </c>
      <c r="B51" s="2" t="s">
        <v>15</v>
      </c>
      <c r="C51" s="2" t="s">
        <v>191</v>
      </c>
      <c r="D51" s="2" t="s">
        <v>192</v>
      </c>
      <c r="E51" s="2" t="s">
        <v>193</v>
      </c>
      <c r="F51" s="9">
        <v>70</v>
      </c>
      <c r="G51" s="4">
        <v>97.5</v>
      </c>
      <c r="H51" s="2" t="s">
        <v>38</v>
      </c>
      <c r="I51" s="2">
        <v>20</v>
      </c>
      <c r="J51" s="4">
        <f>Product[[#This Row],[Selling Price]]-Product[[#This Row],[Cost]]</f>
        <v>27.5</v>
      </c>
      <c r="K51" s="11">
        <f>Product[[#This Row],[Profit]]/Product[[#This Row],[Selling Price]]</f>
        <v>0.28205128205128205</v>
      </c>
      <c r="L51" s="13">
        <f>Product[[#This Row],[Stock]]*Product[[#This Row],[Cost]]</f>
        <v>1400</v>
      </c>
      <c r="M51" s="13">
        <f>Product[[#This Row],[Stock]]*Product[[#This Row],[Selling Price]]</f>
        <v>1950</v>
      </c>
      <c r="N51" s="13">
        <f>Product[[#This Row],[Stock]]*Product[[#This Row],[Profit]]</f>
        <v>550</v>
      </c>
    </row>
    <row r="52" spans="1:14">
      <c r="A52" s="2" t="s">
        <v>194</v>
      </c>
      <c r="B52" s="2" t="s">
        <v>40</v>
      </c>
      <c r="C52" s="2" t="s">
        <v>195</v>
      </c>
      <c r="D52" s="2" t="s">
        <v>196</v>
      </c>
      <c r="E52" s="2" t="s">
        <v>197</v>
      </c>
      <c r="F52" s="9">
        <v>11</v>
      </c>
      <c r="G52" s="4">
        <v>15</v>
      </c>
      <c r="H52" s="2" t="s">
        <v>19</v>
      </c>
      <c r="I52" s="2">
        <v>20</v>
      </c>
      <c r="J52" s="4">
        <f>Product[[#This Row],[Selling Price]]-Product[[#This Row],[Cost]]</f>
        <v>4</v>
      </c>
      <c r="K52" s="11">
        <f>Product[[#This Row],[Profit]]/Product[[#This Row],[Selling Price]]</f>
        <v>0.26666666666666666</v>
      </c>
      <c r="L52" s="13">
        <f>Product[[#This Row],[Stock]]*Product[[#This Row],[Cost]]</f>
        <v>220</v>
      </c>
      <c r="M52" s="13">
        <f>Product[[#This Row],[Stock]]*Product[[#This Row],[Selling Price]]</f>
        <v>300</v>
      </c>
      <c r="N52" s="13">
        <f>Product[[#This Row],[Stock]]*Product[[#This Row],[Profit]]</f>
        <v>80</v>
      </c>
    </row>
    <row r="53" spans="1:14">
      <c r="A53" s="2" t="s">
        <v>198</v>
      </c>
      <c r="B53" s="2" t="s">
        <v>63</v>
      </c>
      <c r="C53" s="2" t="s">
        <v>199</v>
      </c>
      <c r="D53" s="2" t="s">
        <v>200</v>
      </c>
      <c r="E53" s="2" t="s">
        <v>66</v>
      </c>
      <c r="F53" s="9">
        <v>46</v>
      </c>
      <c r="G53" s="4">
        <v>62.5</v>
      </c>
      <c r="H53" s="2" t="s">
        <v>19</v>
      </c>
      <c r="I53" s="2">
        <v>44</v>
      </c>
      <c r="J53" s="4">
        <f>Product[[#This Row],[Selling Price]]-Product[[#This Row],[Cost]]</f>
        <v>16.5</v>
      </c>
      <c r="K53" s="11">
        <f>Product[[#This Row],[Profit]]/Product[[#This Row],[Selling Price]]</f>
        <v>0.26400000000000001</v>
      </c>
      <c r="L53" s="13">
        <f>Product[[#This Row],[Stock]]*Product[[#This Row],[Cost]]</f>
        <v>2024</v>
      </c>
      <c r="M53" s="13">
        <f>Product[[#This Row],[Stock]]*Product[[#This Row],[Selling Price]]</f>
        <v>2750</v>
      </c>
      <c r="N53" s="13">
        <f>Product[[#This Row],[Stock]]*Product[[#This Row],[Profit]]</f>
        <v>726</v>
      </c>
    </row>
    <row r="54" spans="1:14">
      <c r="A54" s="2" t="s">
        <v>201</v>
      </c>
      <c r="B54" s="2" t="s">
        <v>40</v>
      </c>
      <c r="C54" s="2" t="s">
        <v>202</v>
      </c>
      <c r="D54" s="2" t="s">
        <v>203</v>
      </c>
      <c r="E54" s="2" t="s">
        <v>204</v>
      </c>
      <c r="F54" s="9">
        <v>175</v>
      </c>
      <c r="G54" s="4">
        <v>236.95</v>
      </c>
      <c r="H54" s="2" t="s">
        <v>19</v>
      </c>
      <c r="I54" s="2">
        <v>0</v>
      </c>
      <c r="J54" s="4">
        <f>Product[[#This Row],[Selling Price]]-Product[[#This Row],[Cost]]</f>
        <v>61.949999999999989</v>
      </c>
      <c r="K54" s="11">
        <f>Product[[#This Row],[Profit]]/Product[[#This Row],[Selling Price]]</f>
        <v>0.26144756277695713</v>
      </c>
      <c r="L54" s="13">
        <f>Product[[#This Row],[Stock]]*Product[[#This Row],[Cost]]</f>
        <v>0</v>
      </c>
      <c r="M54" s="13">
        <f>Product[[#This Row],[Stock]]*Product[[#This Row],[Selling Price]]</f>
        <v>0</v>
      </c>
      <c r="N54" s="13">
        <f>Product[[#This Row],[Stock]]*Product[[#This Row],[Profit]]</f>
        <v>0</v>
      </c>
    </row>
    <row r="55" spans="1:14">
      <c r="A55" s="2" t="s">
        <v>205</v>
      </c>
      <c r="B55" s="2" t="s">
        <v>68</v>
      </c>
      <c r="C55" s="2" t="s">
        <v>69</v>
      </c>
      <c r="D55" s="2" t="s">
        <v>206</v>
      </c>
      <c r="E55" s="2" t="s">
        <v>89</v>
      </c>
      <c r="F55" s="9">
        <v>60</v>
      </c>
      <c r="G55" s="4">
        <v>80.474999999999994</v>
      </c>
      <c r="H55" s="2" t="s">
        <v>19</v>
      </c>
      <c r="I55" s="2">
        <v>10</v>
      </c>
      <c r="J55" s="4">
        <f>Product[[#This Row],[Selling Price]]-Product[[#This Row],[Cost]]</f>
        <v>20.474999999999994</v>
      </c>
      <c r="K55" s="11">
        <f>Product[[#This Row],[Profit]]/Product[[#This Row],[Selling Price]]</f>
        <v>0.25442684063373711</v>
      </c>
      <c r="L55" s="13">
        <f>Product[[#This Row],[Stock]]*Product[[#This Row],[Cost]]</f>
        <v>600</v>
      </c>
      <c r="M55" s="13">
        <f>Product[[#This Row],[Stock]]*Product[[#This Row],[Selling Price]]</f>
        <v>804.75</v>
      </c>
      <c r="N55" s="13">
        <f>Product[[#This Row],[Stock]]*Product[[#This Row],[Profit]]</f>
        <v>204.74999999999994</v>
      </c>
    </row>
    <row r="56" spans="1:14">
      <c r="A56" s="2" t="s">
        <v>207</v>
      </c>
      <c r="B56" s="2" t="s">
        <v>63</v>
      </c>
      <c r="C56" s="2" t="s">
        <v>208</v>
      </c>
      <c r="D56" s="2" t="s">
        <v>209</v>
      </c>
      <c r="E56" s="2" t="s">
        <v>210</v>
      </c>
      <c r="F56" s="9">
        <v>177</v>
      </c>
      <c r="G56" s="4">
        <v>235.25</v>
      </c>
      <c r="H56" s="2" t="s">
        <v>19</v>
      </c>
      <c r="I56" s="2">
        <v>34</v>
      </c>
      <c r="J56" s="4">
        <f>Product[[#This Row],[Selling Price]]-Product[[#This Row],[Cost]]</f>
        <v>58.25</v>
      </c>
      <c r="K56" s="11">
        <f>Product[[#This Row],[Profit]]/Product[[#This Row],[Selling Price]]</f>
        <v>0.24760892667375134</v>
      </c>
      <c r="L56" s="13">
        <f>Product[[#This Row],[Stock]]*Product[[#This Row],[Cost]]</f>
        <v>6018</v>
      </c>
      <c r="M56" s="13">
        <f>Product[[#This Row],[Stock]]*Product[[#This Row],[Selling Price]]</f>
        <v>7998.5</v>
      </c>
      <c r="N56" s="13">
        <f>Product[[#This Row],[Stock]]*Product[[#This Row],[Profit]]</f>
        <v>1980.5</v>
      </c>
    </row>
    <row r="57" spans="1:14">
      <c r="A57" s="2" t="s">
        <v>211</v>
      </c>
      <c r="B57" s="2" t="s">
        <v>63</v>
      </c>
      <c r="C57" s="2" t="s">
        <v>165</v>
      </c>
      <c r="D57" s="2" t="s">
        <v>212</v>
      </c>
      <c r="E57" s="2" t="s">
        <v>213</v>
      </c>
      <c r="F57" s="9">
        <v>180</v>
      </c>
      <c r="G57" s="4">
        <v>235.25</v>
      </c>
      <c r="H57" s="2" t="s">
        <v>38</v>
      </c>
      <c r="I57" s="2">
        <v>44</v>
      </c>
      <c r="J57" s="4">
        <f>Product[[#This Row],[Selling Price]]-Product[[#This Row],[Cost]]</f>
        <v>55.25</v>
      </c>
      <c r="K57" s="11">
        <f>Product[[#This Row],[Profit]]/Product[[#This Row],[Selling Price]]</f>
        <v>0.23485653560042508</v>
      </c>
      <c r="L57" s="13">
        <f>Product[[#This Row],[Stock]]*Product[[#This Row],[Cost]]</f>
        <v>7920</v>
      </c>
      <c r="M57" s="13">
        <f>Product[[#This Row],[Stock]]*Product[[#This Row],[Selling Price]]</f>
        <v>10351</v>
      </c>
      <c r="N57" s="13">
        <f>Product[[#This Row],[Stock]]*Product[[#This Row],[Profit]]</f>
        <v>2431</v>
      </c>
    </row>
    <row r="58" spans="1:14">
      <c r="A58" s="2" t="s">
        <v>214</v>
      </c>
      <c r="B58" s="2" t="s">
        <v>68</v>
      </c>
      <c r="C58" s="2" t="s">
        <v>69</v>
      </c>
      <c r="D58" s="2" t="s">
        <v>215</v>
      </c>
      <c r="E58" s="2" t="s">
        <v>216</v>
      </c>
      <c r="F58" s="9">
        <v>25</v>
      </c>
      <c r="G58" s="4">
        <v>32.475000000000001</v>
      </c>
      <c r="H58" s="2" t="s">
        <v>38</v>
      </c>
      <c r="I58" s="2">
        <v>66</v>
      </c>
      <c r="J58" s="4">
        <f>Product[[#This Row],[Selling Price]]-Product[[#This Row],[Cost]]</f>
        <v>7.4750000000000014</v>
      </c>
      <c r="K58" s="11">
        <f>Product[[#This Row],[Profit]]/Product[[#This Row],[Selling Price]]</f>
        <v>0.23017705927636647</v>
      </c>
      <c r="L58" s="13">
        <f>Product[[#This Row],[Stock]]*Product[[#This Row],[Cost]]</f>
        <v>1650</v>
      </c>
      <c r="M58" s="13">
        <f>Product[[#This Row],[Stock]]*Product[[#This Row],[Selling Price]]</f>
        <v>2143.35</v>
      </c>
      <c r="N58" s="13">
        <f>Product[[#This Row],[Stock]]*Product[[#This Row],[Profit]]</f>
        <v>493.35000000000008</v>
      </c>
    </row>
    <row r="59" spans="1:14">
      <c r="A59" s="2" t="s">
        <v>217</v>
      </c>
      <c r="B59" s="2" t="s">
        <v>63</v>
      </c>
      <c r="C59" s="2" t="s">
        <v>218</v>
      </c>
      <c r="D59" s="2" t="s">
        <v>219</v>
      </c>
      <c r="E59" s="2" t="s">
        <v>220</v>
      </c>
      <c r="F59" s="9">
        <v>500</v>
      </c>
      <c r="G59" s="4">
        <v>600</v>
      </c>
      <c r="H59" s="2" t="s">
        <v>19</v>
      </c>
      <c r="I59" s="2">
        <v>20</v>
      </c>
      <c r="J59" s="4">
        <f>Product[[#This Row],[Selling Price]]-Product[[#This Row],[Cost]]</f>
        <v>100</v>
      </c>
      <c r="K59" s="11">
        <f>Product[[#This Row],[Profit]]/Product[[#This Row],[Selling Price]]</f>
        <v>0.16666666666666666</v>
      </c>
      <c r="L59" s="13">
        <f>Product[[#This Row],[Stock]]*Product[[#This Row],[Cost]]</f>
        <v>10000</v>
      </c>
      <c r="M59" s="13">
        <f>Product[[#This Row],[Stock]]*Product[[#This Row],[Selling Price]]</f>
        <v>12000</v>
      </c>
      <c r="N59" s="13">
        <f>Product[[#This Row],[Stock]]*Product[[#This Row],[Profit]]</f>
        <v>2000</v>
      </c>
    </row>
    <row r="60" spans="1:14">
      <c r="A60" s="2" t="s">
        <v>221</v>
      </c>
      <c r="B60" s="2" t="s">
        <v>63</v>
      </c>
      <c r="C60" s="2" t="s">
        <v>218</v>
      </c>
      <c r="D60" s="2" t="s">
        <v>222</v>
      </c>
      <c r="E60" s="2" t="s">
        <v>223</v>
      </c>
      <c r="F60" s="9">
        <v>55</v>
      </c>
      <c r="G60" s="4">
        <v>65</v>
      </c>
      <c r="H60" s="2" t="s">
        <v>19</v>
      </c>
      <c r="I60" s="2">
        <v>10</v>
      </c>
      <c r="J60" s="4">
        <f>Product[[#This Row],[Selling Price]]-Product[[#This Row],[Cost]]</f>
        <v>10</v>
      </c>
      <c r="K60" s="11">
        <f>Product[[#This Row],[Profit]]/Product[[#This Row],[Selling Price]]</f>
        <v>0.15384615384615385</v>
      </c>
      <c r="L60" s="13">
        <f>Product[[#This Row],[Stock]]*Product[[#This Row],[Cost]]</f>
        <v>550</v>
      </c>
      <c r="M60" s="13">
        <f>Product[[#This Row],[Stock]]*Product[[#This Row],[Selling Price]]</f>
        <v>650</v>
      </c>
      <c r="N60" s="13">
        <f>Product[[#This Row],[Stock]]*Product[[#This Row],[Profit]]</f>
        <v>100</v>
      </c>
    </row>
  </sheetData>
  <conditionalFormatting sqref="I2:I60">
    <cfRule type="cellIs" dxfId="17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DC60-9420-4D72-AC02-5137DE378F6B}">
  <dimension ref="A1:D7"/>
  <sheetViews>
    <sheetView workbookViewId="0">
      <selection activeCell="A6" sqref="A6"/>
    </sheetView>
  </sheetViews>
  <sheetFormatPr defaultRowHeight="15"/>
  <cols>
    <col min="1" max="1" width="15.5703125" bestFit="1" customWidth="1"/>
    <col min="2" max="2" width="10.7109375" bestFit="1" customWidth="1"/>
  </cols>
  <sheetData>
    <row r="1" spans="1:4" ht="18.75">
      <c r="A1" s="5" t="s">
        <v>224</v>
      </c>
      <c r="B1" s="5" t="s">
        <v>225</v>
      </c>
      <c r="D1" s="6"/>
    </row>
    <row r="2" spans="1:4">
      <c r="A2" t="s">
        <v>226</v>
      </c>
      <c r="B2">
        <f>COUNTA(Product[Product ID])</f>
        <v>59</v>
      </c>
    </row>
    <row r="3" spans="1:4">
      <c r="A3" t="s">
        <v>227</v>
      </c>
      <c r="B3">
        <f>COUNTIF('Spinneys Products Data'!H2:H60,"YES")</f>
        <v>18</v>
      </c>
    </row>
    <row r="4" spans="1:4">
      <c r="A4" t="s">
        <v>228</v>
      </c>
      <c r="B4">
        <f>COUNTIF('Spinneys Products Data'!H2:H60,"NO")</f>
        <v>41</v>
      </c>
    </row>
    <row r="5" spans="1:4">
      <c r="A5" t="s">
        <v>229</v>
      </c>
      <c r="B5">
        <f>COUNTBLANK(Product[Vendor/Brand])</f>
        <v>0</v>
      </c>
    </row>
    <row r="6" spans="1:4">
      <c r="A6" t="s">
        <v>230</v>
      </c>
      <c r="B6">
        <f>COUNTIF(Product[Stock],0)</f>
        <v>4</v>
      </c>
    </row>
    <row r="7" spans="1:4">
      <c r="A7" t="s">
        <v>231</v>
      </c>
      <c r="B7">
        <f>COUNTIF(Product[Stock],"&lt;20")</f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4F6A-BE6F-4F4D-BF16-743AF3AC336E}">
  <dimension ref="A1:E65"/>
  <sheetViews>
    <sheetView tabSelected="1" workbookViewId="0">
      <selection activeCell="B63" sqref="B63"/>
    </sheetView>
  </sheetViews>
  <sheetFormatPr defaultRowHeight="15"/>
  <cols>
    <col min="1" max="1" width="13.85546875" bestFit="1" customWidth="1"/>
    <col min="2" max="2" width="19" bestFit="1" customWidth="1"/>
    <col min="3" max="3" width="12.7109375" bestFit="1" customWidth="1"/>
    <col min="4" max="4" width="21.85546875" bestFit="1" customWidth="1"/>
    <col min="5" max="5" width="24.5703125" bestFit="1" customWidth="1"/>
    <col min="6" max="60" width="5.5703125" bestFit="1" customWidth="1"/>
    <col min="61" max="61" width="11.7109375" bestFit="1" customWidth="1"/>
  </cols>
  <sheetData>
    <row r="1" spans="1:5">
      <c r="A1" s="15" t="s">
        <v>1</v>
      </c>
      <c r="B1" t="s">
        <v>232</v>
      </c>
      <c r="C1" t="s">
        <v>233</v>
      </c>
      <c r="D1" t="s">
        <v>234</v>
      </c>
      <c r="E1" t="s">
        <v>235</v>
      </c>
    </row>
    <row r="2" spans="1:5">
      <c r="A2" t="s">
        <v>25</v>
      </c>
      <c r="B2" s="14">
        <v>549</v>
      </c>
      <c r="C2" s="18">
        <v>21899</v>
      </c>
      <c r="D2" s="18">
        <v>34949.4</v>
      </c>
      <c r="E2" s="18">
        <v>13050.400000000001</v>
      </c>
    </row>
    <row r="3" spans="1:5">
      <c r="A3" t="s">
        <v>68</v>
      </c>
      <c r="B3" s="14">
        <v>485</v>
      </c>
      <c r="C3" s="18">
        <v>12943.6</v>
      </c>
      <c r="D3" s="18">
        <v>19449.75</v>
      </c>
      <c r="E3" s="18">
        <v>6506.1500000000005</v>
      </c>
    </row>
    <row r="4" spans="1:5">
      <c r="A4" t="s">
        <v>34</v>
      </c>
      <c r="B4" s="14">
        <v>460</v>
      </c>
      <c r="C4" s="18">
        <v>8059</v>
      </c>
      <c r="D4" s="18">
        <v>12910.95</v>
      </c>
      <c r="E4" s="18">
        <v>4851.9500000000007</v>
      </c>
    </row>
    <row r="5" spans="1:5">
      <c r="A5" t="s">
        <v>63</v>
      </c>
      <c r="B5" s="14">
        <v>380</v>
      </c>
      <c r="C5" s="18">
        <v>46026</v>
      </c>
      <c r="D5" s="18">
        <v>62645.2</v>
      </c>
      <c r="E5" s="18">
        <v>16619.199999999997</v>
      </c>
    </row>
    <row r="6" spans="1:5">
      <c r="A6" t="s">
        <v>40</v>
      </c>
      <c r="B6" s="14">
        <v>369</v>
      </c>
      <c r="C6" s="18">
        <v>5094.5</v>
      </c>
      <c r="D6" s="18">
        <v>7801.3</v>
      </c>
      <c r="E6" s="18">
        <v>2706.8</v>
      </c>
    </row>
    <row r="7" spans="1:5">
      <c r="A7" t="s">
        <v>15</v>
      </c>
      <c r="B7" s="14">
        <v>325</v>
      </c>
      <c r="C7" s="18">
        <v>6587.5</v>
      </c>
      <c r="D7" s="18">
        <v>9998.5</v>
      </c>
      <c r="E7" s="18">
        <v>3411</v>
      </c>
    </row>
    <row r="8" spans="1:5">
      <c r="A8" t="s">
        <v>76</v>
      </c>
      <c r="B8" s="14">
        <v>99</v>
      </c>
      <c r="C8" s="18">
        <v>10010</v>
      </c>
      <c r="D8" s="18">
        <v>14227.312</v>
      </c>
      <c r="E8" s="18">
        <v>4217.3119999999999</v>
      </c>
    </row>
    <row r="9" spans="1:5">
      <c r="A9" t="s">
        <v>236</v>
      </c>
      <c r="B9" s="14">
        <v>2667</v>
      </c>
      <c r="C9" s="18">
        <v>110619.6</v>
      </c>
      <c r="D9" s="18">
        <v>161982.41200000001</v>
      </c>
      <c r="E9" s="18">
        <v>51362.811999999998</v>
      </c>
    </row>
    <row r="13" spans="1:5">
      <c r="A13" s="15" t="s">
        <v>3</v>
      </c>
      <c r="B13" t="s">
        <v>235</v>
      </c>
      <c r="C13" t="s">
        <v>232</v>
      </c>
    </row>
    <row r="14" spans="1:5">
      <c r="A14" t="s">
        <v>158</v>
      </c>
      <c r="B14" s="16">
        <v>4410</v>
      </c>
      <c r="C14" s="14">
        <v>49</v>
      </c>
    </row>
    <row r="15" spans="1:5">
      <c r="A15" t="s">
        <v>162</v>
      </c>
      <c r="B15" s="16">
        <v>3840</v>
      </c>
      <c r="C15" s="14">
        <v>48</v>
      </c>
    </row>
    <row r="16" spans="1:5">
      <c r="A16" t="s">
        <v>186</v>
      </c>
      <c r="B16" s="16">
        <v>3711.84</v>
      </c>
      <c r="C16" s="14">
        <v>55</v>
      </c>
    </row>
    <row r="17" spans="1:3">
      <c r="A17" t="s">
        <v>145</v>
      </c>
      <c r="B17" s="16">
        <v>3296.6999999999994</v>
      </c>
      <c r="C17" s="14">
        <v>66</v>
      </c>
    </row>
    <row r="18" spans="1:3">
      <c r="A18" t="s">
        <v>212</v>
      </c>
      <c r="B18" s="16">
        <v>2431</v>
      </c>
      <c r="C18" s="14">
        <v>44</v>
      </c>
    </row>
    <row r="19" spans="1:3">
      <c r="A19" t="s">
        <v>219</v>
      </c>
      <c r="B19" s="16">
        <v>2000</v>
      </c>
      <c r="C19" s="14">
        <v>20</v>
      </c>
    </row>
    <row r="20" spans="1:3">
      <c r="A20" t="s">
        <v>209</v>
      </c>
      <c r="B20" s="16">
        <v>1980.5</v>
      </c>
      <c r="C20" s="14">
        <v>34</v>
      </c>
    </row>
    <row r="21" spans="1:3">
      <c r="A21" t="s">
        <v>27</v>
      </c>
      <c r="B21" s="16">
        <v>1870.2</v>
      </c>
      <c r="C21" s="14">
        <v>36</v>
      </c>
    </row>
    <row r="22" spans="1:3">
      <c r="A22" t="s">
        <v>129</v>
      </c>
      <c r="B22" s="16">
        <v>1804</v>
      </c>
      <c r="C22" s="14">
        <v>88</v>
      </c>
    </row>
    <row r="23" spans="1:3">
      <c r="A23" t="s">
        <v>132</v>
      </c>
      <c r="B23" s="16">
        <v>1650</v>
      </c>
      <c r="C23" s="14">
        <v>100</v>
      </c>
    </row>
    <row r="24" spans="1:3">
      <c r="A24" t="s">
        <v>236</v>
      </c>
      <c r="B24" s="16">
        <v>26994.240000000002</v>
      </c>
      <c r="C24" s="14">
        <v>540</v>
      </c>
    </row>
    <row r="27" spans="1:3">
      <c r="A27" s="15" t="s">
        <v>3</v>
      </c>
      <c r="B27" t="s">
        <v>232</v>
      </c>
    </row>
    <row r="28" spans="1:3">
      <c r="A28" t="s">
        <v>82</v>
      </c>
      <c r="B28" s="14">
        <v>0</v>
      </c>
    </row>
    <row r="29" spans="1:3">
      <c r="A29" t="s">
        <v>122</v>
      </c>
      <c r="B29" s="14">
        <v>0</v>
      </c>
    </row>
    <row r="30" spans="1:3">
      <c r="A30" t="s">
        <v>203</v>
      </c>
      <c r="B30" s="14">
        <v>0</v>
      </c>
    </row>
    <row r="31" spans="1:3">
      <c r="A31" t="s">
        <v>112</v>
      </c>
      <c r="B31" s="14">
        <v>0</v>
      </c>
    </row>
    <row r="36" spans="1:2">
      <c r="A36" s="15" t="s">
        <v>3</v>
      </c>
      <c r="B36" t="s">
        <v>232</v>
      </c>
    </row>
    <row r="37" spans="1:2">
      <c r="A37" t="s">
        <v>82</v>
      </c>
      <c r="B37" s="14">
        <v>0</v>
      </c>
    </row>
    <row r="38" spans="1:2">
      <c r="A38" t="s">
        <v>112</v>
      </c>
      <c r="B38" s="14">
        <v>0</v>
      </c>
    </row>
    <row r="39" spans="1:2">
      <c r="A39" t="s">
        <v>203</v>
      </c>
      <c r="B39" s="14">
        <v>0</v>
      </c>
    </row>
    <row r="40" spans="1:2">
      <c r="A40" t="s">
        <v>122</v>
      </c>
      <c r="B40" s="14">
        <v>0</v>
      </c>
    </row>
    <row r="41" spans="1:2">
      <c r="A41" t="s">
        <v>99</v>
      </c>
      <c r="B41" s="14">
        <v>6</v>
      </c>
    </row>
    <row r="42" spans="1:2">
      <c r="A42" t="s">
        <v>206</v>
      </c>
      <c r="B42" s="14">
        <v>10</v>
      </c>
    </row>
    <row r="43" spans="1:2">
      <c r="A43" t="s">
        <v>222</v>
      </c>
      <c r="B43" s="14">
        <v>10</v>
      </c>
    </row>
    <row r="44" spans="1:2">
      <c r="A44" t="s">
        <v>104</v>
      </c>
      <c r="B44" s="14">
        <v>17</v>
      </c>
    </row>
    <row r="45" spans="1:2">
      <c r="A45" t="s">
        <v>236</v>
      </c>
      <c r="B45" s="14">
        <v>43</v>
      </c>
    </row>
    <row r="49" spans="1:5">
      <c r="A49" s="15" t="s">
        <v>3</v>
      </c>
      <c r="B49" t="s">
        <v>237</v>
      </c>
    </row>
    <row r="50" spans="1:5">
      <c r="A50" t="s">
        <v>17</v>
      </c>
      <c r="B50" s="17">
        <v>0.63470319634703198</v>
      </c>
    </row>
    <row r="51" spans="1:5">
      <c r="A51" t="s">
        <v>22</v>
      </c>
      <c r="B51" s="17">
        <v>0.54838709677419351</v>
      </c>
    </row>
    <row r="52" spans="1:5">
      <c r="A52" t="s">
        <v>27</v>
      </c>
      <c r="B52" s="17">
        <v>0.53584321815368752</v>
      </c>
    </row>
    <row r="53" spans="1:5">
      <c r="A53" t="s">
        <v>31</v>
      </c>
      <c r="B53" s="17">
        <v>0.5317725752508361</v>
      </c>
    </row>
    <row r="54" spans="1:5">
      <c r="A54" t="s">
        <v>42</v>
      </c>
      <c r="B54" s="17">
        <v>0.5</v>
      </c>
    </row>
    <row r="55" spans="1:5">
      <c r="A55" t="s">
        <v>36</v>
      </c>
      <c r="B55" s="17">
        <v>0.5</v>
      </c>
    </row>
    <row r="56" spans="1:5">
      <c r="A56" t="s">
        <v>46</v>
      </c>
      <c r="B56" s="17">
        <v>0.49974987493746875</v>
      </c>
    </row>
    <row r="57" spans="1:5">
      <c r="A57" t="s">
        <v>49</v>
      </c>
      <c r="B57" s="17">
        <v>0.49874686716791977</v>
      </c>
    </row>
    <row r="58" spans="1:5">
      <c r="A58" t="s">
        <v>52</v>
      </c>
      <c r="B58" s="17">
        <v>0.49494949494949497</v>
      </c>
    </row>
    <row r="59" spans="1:5">
      <c r="A59" t="s">
        <v>56</v>
      </c>
      <c r="B59" s="17">
        <v>0.47876447876447875</v>
      </c>
    </row>
    <row r="62" spans="1:5">
      <c r="A62" s="15" t="s">
        <v>7</v>
      </c>
      <c r="B62" t="s">
        <v>238</v>
      </c>
      <c r="C62" t="s">
        <v>232</v>
      </c>
      <c r="D62" t="s">
        <v>235</v>
      </c>
      <c r="E62" t="s">
        <v>234</v>
      </c>
    </row>
    <row r="63" spans="1:5">
      <c r="A63" t="s">
        <v>19</v>
      </c>
      <c r="B63" s="14">
        <v>41</v>
      </c>
      <c r="C63" s="14">
        <v>1768</v>
      </c>
      <c r="D63" s="16">
        <v>36394.011999999995</v>
      </c>
      <c r="E63" s="16">
        <v>112125.11199999999</v>
      </c>
    </row>
    <row r="64" spans="1:5">
      <c r="A64" t="s">
        <v>38</v>
      </c>
      <c r="B64" s="14">
        <v>18</v>
      </c>
      <c r="C64" s="14">
        <v>899</v>
      </c>
      <c r="D64" s="16">
        <v>14968.8</v>
      </c>
      <c r="E64" s="16">
        <v>49857.3</v>
      </c>
    </row>
    <row r="65" spans="1:5">
      <c r="A65" t="s">
        <v>236</v>
      </c>
      <c r="B65" s="14">
        <v>59</v>
      </c>
      <c r="C65" s="14">
        <v>2667</v>
      </c>
      <c r="D65" s="16">
        <v>51362.811999999998</v>
      </c>
      <c r="E65" s="16">
        <v>161982.41199999998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Aya Ali</cp:lastModifiedBy>
  <cp:revision/>
  <dcterms:created xsi:type="dcterms:W3CDTF">2026-08-13T13:15:59Z</dcterms:created>
  <dcterms:modified xsi:type="dcterms:W3CDTF">2026-08-16T18:45:50Z</dcterms:modified>
  <cp:category/>
  <cp:contentStatus/>
</cp:coreProperties>
</file>